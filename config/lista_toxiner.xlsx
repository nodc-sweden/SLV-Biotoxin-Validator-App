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\SLV-Biotoxin-Validator-App\config\"/>
    </mc:Choice>
  </mc:AlternateContent>
  <xr:revisionPtr revIDLastSave="0" documentId="13_ncr:1_{3C6FF349-F9B4-4DCA-A28A-C76455476E7D}" xr6:coauthVersionLast="47" xr6:coauthVersionMax="47" xr10:uidLastSave="{00000000-0000-0000-0000-000000000000}"/>
  <bookViews>
    <workbookView xWindow="25490" yWindow="0" windowWidth="25820" windowHeight="13900" xr2:uid="{5EE10D2C-8E1B-4393-ADF2-C1365B6C7898}"/>
  </bookViews>
  <sheets>
    <sheet name="Blad1" sheetId="1" r:id="rId1"/>
  </sheets>
  <definedNames>
    <definedName name="_xlnm._FilterDatabase" localSheetId="0" hidden="1">Blad1!$A$1:$AI$72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I46" i="1" l="1"/>
  <c r="AI47" i="1"/>
  <c r="AI7" i="1"/>
  <c r="AI3" i="1"/>
  <c r="AI4" i="1"/>
  <c r="AI5" i="1"/>
  <c r="AI6" i="1"/>
  <c r="AI20" i="1"/>
  <c r="AI21" i="1"/>
  <c r="AI22" i="1"/>
  <c r="AI23" i="1"/>
  <c r="AI48" i="1"/>
  <c r="AI24" i="1"/>
  <c r="AI25" i="1"/>
  <c r="AI26" i="1"/>
  <c r="AI27" i="1"/>
  <c r="AI28" i="1"/>
  <c r="AI29" i="1"/>
  <c r="AI8" i="1"/>
  <c r="AI9" i="1"/>
  <c r="AI10" i="1"/>
  <c r="AI11" i="1"/>
  <c r="AI12" i="1"/>
  <c r="AI13" i="1"/>
  <c r="AI14" i="1"/>
  <c r="AI2" i="1"/>
  <c r="AI30" i="1"/>
  <c r="AI31" i="1"/>
  <c r="AI32" i="1"/>
  <c r="AI33" i="1"/>
  <c r="AI34" i="1"/>
  <c r="AI35" i="1"/>
  <c r="AI36" i="1"/>
  <c r="AI37" i="1"/>
  <c r="AI49" i="1"/>
  <c r="AI38" i="1"/>
  <c r="AI39" i="1"/>
  <c r="AI15" i="1"/>
  <c r="AI16" i="1"/>
  <c r="AI40" i="1"/>
  <c r="AI41" i="1"/>
  <c r="AI17" i="1"/>
  <c r="AI18" i="1"/>
  <c r="AI19" i="1"/>
  <c r="AI44" i="1"/>
  <c r="AI42" i="1"/>
  <c r="AI43" i="1"/>
  <c r="AI50" i="1"/>
  <c r="AI51" i="1"/>
  <c r="AI52" i="1"/>
  <c r="AI53" i="1"/>
  <c r="AI54" i="1"/>
  <c r="AI57" i="1"/>
  <c r="AI62" i="1"/>
  <c r="AI68" i="1"/>
  <c r="AI72" i="1"/>
  <c r="AI66" i="1"/>
  <c r="AI61" i="1"/>
  <c r="AI71" i="1"/>
  <c r="AI59" i="1"/>
  <c r="AI60" i="1"/>
  <c r="AI64" i="1"/>
  <c r="AI65" i="1"/>
  <c r="AI70" i="1"/>
  <c r="AI55" i="1"/>
  <c r="AI67" i="1"/>
  <c r="AI63" i="1"/>
  <c r="AI69" i="1"/>
  <c r="AI56" i="1"/>
  <c r="AI58" i="1"/>
  <c r="AI45" i="1"/>
</calcChain>
</file>

<file path=xl/sharedStrings.xml><?xml version="1.0" encoding="utf-8"?>
<sst xmlns="http://schemas.openxmlformats.org/spreadsheetml/2006/main" count="1382" uniqueCount="420">
  <si>
    <t>Enhet</t>
  </si>
  <si>
    <t>ASP-Toxin, Domorinsyra - (µg/g)</t>
  </si>
  <si>
    <t>45-OH-carboxy-YTX - (mg YTX eq/kg)</t>
  </si>
  <si>
    <t>45-OH-homo-YTX - (mg YTX eq/kg)</t>
  </si>
  <si>
    <t>45-OH-YTX - (mg YTX eq/kg)</t>
  </si>
  <si>
    <t>AZA-1 - (µg AZA eq/kg)</t>
  </si>
  <si>
    <t>AZA-2 - (µg AZA eq/kg)</t>
  </si>
  <si>
    <t>AZA-3 - (µg AZA eq/kg)</t>
  </si>
  <si>
    <t>AZA-total - (µg AZA eq/kg)</t>
  </si>
  <si>
    <t>Carboxy-YTX - (mg YTX eq/kg)</t>
  </si>
  <si>
    <t>Domorinsyra (Screening) - (µg/g)</t>
  </si>
  <si>
    <t>DST-total - (µg OA eq/kg)</t>
  </si>
  <si>
    <t>DTX-1 - (µg OA eq/kg)</t>
  </si>
  <si>
    <t>DTX1-acyl - (µg OA eq/kg)</t>
  </si>
  <si>
    <t>DTX-2 - (µg OA eq/kg)</t>
  </si>
  <si>
    <t>DTX2-acyl - (µg OA eq/kg)</t>
  </si>
  <si>
    <t>Homo-YTX - (mg YTX eq/kg)</t>
  </si>
  <si>
    <t>OA-acyl - (µg OA eq/kg)</t>
  </si>
  <si>
    <t>Okadasyra - (µg OA eq/kg)</t>
  </si>
  <si>
    <t>PTX-1 - (µg PTX eq/kg)</t>
  </si>
  <si>
    <t>PTX-2 - (µg PTX eq/kg)</t>
  </si>
  <si>
    <t>PTX-total - (µg PTX eq/kg)</t>
  </si>
  <si>
    <t>SPX-1 - (µg/kg)</t>
  </si>
  <si>
    <t>YTX - (mg YTX eq/kg)</t>
  </si>
  <si>
    <t>YTX-total - (mg YTX eq/kg)</t>
  </si>
  <si>
    <t>Escherichia coli - (antal/100 g)</t>
  </si>
  <si>
    <t>C1/2  - (µg STXdiHCL eq/kg)</t>
  </si>
  <si>
    <t>C3/4  - (µg STXdiHCL eq/kg)</t>
  </si>
  <si>
    <t>dcGTX2/3 - (µg STXdiHCL eq/kg)</t>
  </si>
  <si>
    <t>dcNEO  - (µg STXdiHCL eq/kg)</t>
  </si>
  <si>
    <t>dcSTX</t>
  </si>
  <si>
    <t>dcSTX  - (µg STXdiHCL eq/kg)</t>
  </si>
  <si>
    <t>GTX1/4 - (µg STXdiHCL eq/kg)</t>
  </si>
  <si>
    <t>GTX1/4</t>
  </si>
  <si>
    <t>GTX2/3</t>
  </si>
  <si>
    <t>GTX2/3  - (µg STXdiHCL eq/kg)</t>
  </si>
  <si>
    <t>GTX5</t>
  </si>
  <si>
    <t>GTX5  - (µg STXdiHCL eq/kg)</t>
  </si>
  <si>
    <t>GTX6 - (µg STXdiHCL eq/kg)</t>
  </si>
  <si>
    <t>GTX6</t>
  </si>
  <si>
    <t>NEO  - (µg STXdiHCL eq/kg)</t>
  </si>
  <si>
    <t>PSP-total - (µg STXdiHCL eq/kg)</t>
  </si>
  <si>
    <t>STX</t>
  </si>
  <si>
    <t>STX  - (µg STXdiHCL eq/kg)</t>
  </si>
  <si>
    <t>https://toxins.hais.ioc-unesco.org/toxins/3/</t>
  </si>
  <si>
    <t>URL-IOC_UNESCO check date</t>
  </si>
  <si>
    <t>DA</t>
  </si>
  <si>
    <t>Domoic acid</t>
  </si>
  <si>
    <t>mg/kg</t>
  </si>
  <si>
    <t>Parameter</t>
  </si>
  <si>
    <t>-</t>
  </si>
  <si>
    <t>SANT_eller_FALSKT</t>
  </si>
  <si>
    <t>Non-lipophilic</t>
  </si>
  <si>
    <t>Lipophilic</t>
  </si>
  <si>
    <t>45-Hydroxycarboxyyessotoxin</t>
  </si>
  <si>
    <t>45OH-carboxyYTX</t>
  </si>
  <si>
    <t>µg/kg</t>
  </si>
  <si>
    <t>https://toxins.hais.ioc-unesco.org/toxins/188/</t>
  </si>
  <si>
    <t>45-Hydroxyhomoyessotoxin</t>
  </si>
  <si>
    <t>45-OH-homoYTX</t>
  </si>
  <si>
    <t>https://toxins.hais.ioc-unesco.org/toxins/185/</t>
  </si>
  <si>
    <t>Yessotoxin</t>
  </si>
  <si>
    <t>YTX</t>
  </si>
  <si>
    <t>YTX_total</t>
  </si>
  <si>
    <t>mg YTX eq/kg</t>
  </si>
  <si>
    <t>https://toxins.hais.ioc-unesco.org/toxins/4/</t>
  </si>
  <si>
    <t>https://toxins.hais.ioc-unesco.org/toxins/181/</t>
  </si>
  <si>
    <t>45-Hydroxyyessotoxin</t>
  </si>
  <si>
    <t>45-OH-YTX</t>
  </si>
  <si>
    <t>Azaspiracid-1</t>
  </si>
  <si>
    <t>Azaspiracid-2</t>
  </si>
  <si>
    <t>Azaspiracid-3</t>
  </si>
  <si>
    <t>AZA1</t>
  </si>
  <si>
    <t>AZA2</t>
  </si>
  <si>
    <t>AZA3</t>
  </si>
  <si>
    <t>µg AZA eq/kg</t>
  </si>
  <si>
    <t>https://toxins.hais.ioc-unesco.org/toxins/2/</t>
  </si>
  <si>
    <t>https://toxins.hais.ioc-unesco.org/toxins/468/</t>
  </si>
  <si>
    <t>https://toxins.hais.ioc-unesco.org/toxins/469/</t>
  </si>
  <si>
    <t>AZA_total</t>
  </si>
  <si>
    <t>CarboxyYTX</t>
  </si>
  <si>
    <t>Carboxyyessotoxin</t>
  </si>
  <si>
    <t>Homoyessotoxin</t>
  </si>
  <si>
    <t>Rekommenderat-namn-IOC</t>
  </si>
  <si>
    <t>Rapporterat-parameternamn</t>
  </si>
  <si>
    <t>HomoYTX</t>
  </si>
  <si>
    <t>https://toxins.hais.ioc-unesco.org/toxins/184/</t>
  </si>
  <si>
    <t>Toxingrupp_IOC_URL</t>
  </si>
  <si>
    <t>Azaspiracid</t>
  </si>
  <si>
    <t>https://toxins.hais.ioc-unesco.org/toxingroup/2/</t>
  </si>
  <si>
    <t>https://toxins.hais.ioc-unesco.org/toxingroup/21/</t>
  </si>
  <si>
    <t>Ocadaic acid</t>
  </si>
  <si>
    <t>OA</t>
  </si>
  <si>
    <t>Okadaic acid</t>
  </si>
  <si>
    <t>https://toxins.hais.ioc-unesco.org/toxins/1/</t>
  </si>
  <si>
    <t>https://toxins.hais.ioc-unesco.org/toxingroup/1/</t>
  </si>
  <si>
    <t>DTX1</t>
  </si>
  <si>
    <t>DTX2</t>
  </si>
  <si>
    <t>Dinophysistoxin-1</t>
  </si>
  <si>
    <t>https://toxins.hais.ioc-unesco.org/toxins/6/</t>
  </si>
  <si>
    <t>µg OA eq/kg</t>
  </si>
  <si>
    <t>Dinophysistoxin-2</t>
  </si>
  <si>
    <t>https://toxins.hais.ioc-unesco.org/toxins/8/</t>
  </si>
  <si>
    <t>DTX3</t>
  </si>
  <si>
    <t>Dinophysistoxin-3</t>
  </si>
  <si>
    <t>https://toxins.hais.ioc-unesco.org/toxins/456/</t>
  </si>
  <si>
    <t>OA_acyl</t>
  </si>
  <si>
    <t>DTX2_acyl</t>
  </si>
  <si>
    <t>https://toxins.hais.ioc-unesco.org/toxingroup/4/</t>
  </si>
  <si>
    <t>https://toxins.hais.ioc-unesco.org/toxingroup/22/</t>
  </si>
  <si>
    <t>Pectenotoxin</t>
  </si>
  <si>
    <t>PTX1</t>
  </si>
  <si>
    <t>PTX_total</t>
  </si>
  <si>
    <t>PTX2</t>
  </si>
  <si>
    <t>µg PTX eq/kg</t>
  </si>
  <si>
    <t>Pectenotoxin-1</t>
  </si>
  <si>
    <t>Pectenotoxin-2</t>
  </si>
  <si>
    <t>Saxitoxin</t>
  </si>
  <si>
    <t>https://toxins.hais.ioc-unesco.org/toxingroup/5/</t>
  </si>
  <si>
    <t>PST_screening_positive</t>
  </si>
  <si>
    <t>E_coli_in_bivalve_flesh</t>
  </si>
  <si>
    <t>PST_total</t>
  </si>
  <si>
    <t>https://toxins.hais.ioc-unesco.org/toxins/476/</t>
  </si>
  <si>
    <t>NeoSTX</t>
  </si>
  <si>
    <t>Neosaxitoxin</t>
  </si>
  <si>
    <t>https://toxins.hais.ioc-unesco.org/toxins/523/</t>
  </si>
  <si>
    <t>lower_limit_reported_value</t>
  </si>
  <si>
    <t>µg STXdiHCL eq/kg</t>
  </si>
  <si>
    <t>Gonyautoxin-1,Gonyautoxin-4</t>
  </si>
  <si>
    <t>https://toxins.hais.ioc-unesco.org/toxins/507/,https://toxins.hais.ioc-unesco.org/toxins/509/</t>
  </si>
  <si>
    <t>GTX1,GTX4</t>
  </si>
  <si>
    <t>GTX2,GTX3</t>
  </si>
  <si>
    <t>https://toxins.hais.ioc-unesco.org/toxins/522/,https://toxins.hais.ioc-unesco.org/toxins/508/</t>
  </si>
  <si>
    <t>Decarbamoylgonyautoxin-2,Decarbamoylgonyautoxin-3</t>
  </si>
  <si>
    <t>dcGTX2,dcGTX3</t>
  </si>
  <si>
    <t>DST_total</t>
  </si>
  <si>
    <t>Decarbamoylsaxitoxin</t>
  </si>
  <si>
    <t>https://toxins.hais.ioc-unesco.org/toxins/517/</t>
  </si>
  <si>
    <t>Gonyautoxin-5</t>
  </si>
  <si>
    <t>Gonyautoxin-6</t>
  </si>
  <si>
    <t>https://toxins.hais.ioc-unesco.org/toxins/511/</t>
  </si>
  <si>
    <t>https://toxins.hais.ioc-unesco.org/toxins/512/</t>
  </si>
  <si>
    <t>dcNeoSTX</t>
  </si>
  <si>
    <t>Decarbamoylneosaxitoxin</t>
  </si>
  <si>
    <t>https://toxins.hais.ioc-unesco.org/toxins/518/</t>
  </si>
  <si>
    <t>STX C1/C2</t>
  </si>
  <si>
    <t>STX C3/C4</t>
  </si>
  <si>
    <t>Saxitoxin C1/c2</t>
  </si>
  <si>
    <t>Saxitoxin C3/C4</t>
  </si>
  <si>
    <t>TEF</t>
  </si>
  <si>
    <t>https://toxins.hais.ioc-unesco.org/toxins/40/</t>
  </si>
  <si>
    <t>https://toxins.hais.ioc-unesco.org/toxins/5/</t>
  </si>
  <si>
    <t>https://toxins.hais.ioc-unesco.org/toxins/186/</t>
  </si>
  <si>
    <t>Spirolides</t>
  </si>
  <si>
    <t>SPX1</t>
  </si>
  <si>
    <t>cells/100 g</t>
  </si>
  <si>
    <t>C1/2</t>
  </si>
  <si>
    <t>GTX2/3_screening_positive</t>
  </si>
  <si>
    <t>GTX5_screening_positive</t>
  </si>
  <si>
    <t>GTX6_screening_positive</t>
  </si>
  <si>
    <t>dcSTX_screening_positive</t>
  </si>
  <si>
    <t>STX_screening_positive</t>
  </si>
  <si>
    <t>GTX1/4_screening_positive</t>
  </si>
  <si>
    <t>dcGTX2/3</t>
  </si>
  <si>
    <t>dcGTX2/3_screening_positive</t>
  </si>
  <si>
    <t>dcNEO</t>
  </si>
  <si>
    <t>dcNEO_screening_positive</t>
  </si>
  <si>
    <t>Domorinsyra</t>
  </si>
  <si>
    <t>C3/4</t>
  </si>
  <si>
    <t>NEO</t>
  </si>
  <si>
    <t>PSP-total</t>
  </si>
  <si>
    <t>Domorinsyra - LP205</t>
  </si>
  <si>
    <t>Rad1</t>
  </si>
  <si>
    <t>DSP-toxiner (Okadasyra, , DTX, AZA, PTX, YTX)  - LW042</t>
  </si>
  <si>
    <t>Escherichia coli Musslor antal/100 g - LW05A</t>
  </si>
  <si>
    <t>PSP-toxiner i musslor, screening - LW0ED</t>
  </si>
  <si>
    <t>Analystyp</t>
  </si>
  <si>
    <t>screening</t>
  </si>
  <si>
    <t>uppmätt värde</t>
  </si>
  <si>
    <t>ug AZA eq/kg</t>
  </si>
  <si>
    <t>ug STXdiHCL eq/kg</t>
  </si>
  <si>
    <t>ug OA eq/kg</t>
  </si>
  <si>
    <t>ug PTX eq/kg</t>
  </si>
  <si>
    <t>ug/kg</t>
  </si>
  <si>
    <t>Kortnamn_MH</t>
  </si>
  <si>
    <t>45OH_carboxyYTX</t>
  </si>
  <si>
    <t>45_OH_homoYTX</t>
  </si>
  <si>
    <t>45_OH_YTX</t>
  </si>
  <si>
    <t>dcGTX2_dcGTX3</t>
  </si>
  <si>
    <t>GTX1_GTX4</t>
  </si>
  <si>
    <t>GTX2_GTX3</t>
  </si>
  <si>
    <t>AZA_tot</t>
  </si>
  <si>
    <t>DST_tot</t>
  </si>
  <si>
    <t>dcGTX2_3_screen_pos</t>
  </si>
  <si>
    <t>dcNEO_screen_pos</t>
  </si>
  <si>
    <t>dcSTX_screen_pos</t>
  </si>
  <si>
    <t>DA_screen_pos</t>
  </si>
  <si>
    <t>E_coli</t>
  </si>
  <si>
    <t>GTX1_4_screen_pos</t>
  </si>
  <si>
    <t>GTX2_3_screen_pos</t>
  </si>
  <si>
    <t>GTX5_screen_pos</t>
  </si>
  <si>
    <t>GTX6_screen_pos</t>
  </si>
  <si>
    <t>PST_tot</t>
  </si>
  <si>
    <t>PTX_tot</t>
  </si>
  <si>
    <t>YTX_tot</t>
  </si>
  <si>
    <t>STX_screen_pos</t>
  </si>
  <si>
    <t>true or false</t>
  </si>
  <si>
    <t>Saxitoxin C1 and C2</t>
  </si>
  <si>
    <t>Saxitoxin C3 and C4</t>
  </si>
  <si>
    <t>Decarbamoylgonyautoxin-2 and -3</t>
  </si>
  <si>
    <t>Gonyautoxin-1 and -4</t>
  </si>
  <si>
    <t>DST total</t>
  </si>
  <si>
    <t>DTX2 acyl</t>
  </si>
  <si>
    <t>GTX5 screening positive</t>
  </si>
  <si>
    <t>GTX6 screening positive</t>
  </si>
  <si>
    <t>Okadaic acid acyl</t>
  </si>
  <si>
    <t>PST total</t>
  </si>
  <si>
    <t>PTX total</t>
  </si>
  <si>
    <t>YTX total</t>
  </si>
  <si>
    <t>STX screening positive</t>
  </si>
  <si>
    <t>Parameternamn_MH</t>
  </si>
  <si>
    <t>Ana-a</t>
  </si>
  <si>
    <t>h-Ana</t>
  </si>
  <si>
    <t>MC-HTyR</t>
  </si>
  <si>
    <t>MC-LR [D-Asp3]</t>
  </si>
  <si>
    <t>MC-RR [D-Asp3]</t>
  </si>
  <si>
    <t>Nod</t>
  </si>
  <si>
    <t>MC-RR</t>
  </si>
  <si>
    <t>MC-LR</t>
  </si>
  <si>
    <t>MC-YR</t>
  </si>
  <si>
    <t>MC-LA</t>
  </si>
  <si>
    <t>MC-LF</t>
  </si>
  <si>
    <t>MC-LW</t>
  </si>
  <si>
    <t>MC-LY</t>
  </si>
  <si>
    <t>MC-WR</t>
  </si>
  <si>
    <t>MC-HilR</t>
  </si>
  <si>
    <t>MC-RR [D-Asp3, (E)-Dhb7]</t>
  </si>
  <si>
    <t>MC-LR [Dha7]</t>
  </si>
  <si>
    <t>MC-RR [Dha7]</t>
  </si>
  <si>
    <t>MC-HphR [DAsp3, (E)-Dhb7]</t>
  </si>
  <si>
    <t>MC-HtyR [D-Asp3, (E)-Dhb7]</t>
  </si>
  <si>
    <t>Cyanotoxin</t>
  </si>
  <si>
    <t>https://toxins.hais.ioc-unesco.org/toxins/465/</t>
  </si>
  <si>
    <t>Cylindrospermopsin</t>
  </si>
  <si>
    <t>CYN</t>
  </si>
  <si>
    <t>https://toxins.hais.ioc-unesco.org/toxingroup/19/</t>
  </si>
  <si>
    <t>Microcystin-LR</t>
  </si>
  <si>
    <t>https://toxins.hais.ioc-unesco.org/toxins/27/</t>
  </si>
  <si>
    <t>https://toxins.hais.ioc-unesco.org/toxingroup/17/</t>
  </si>
  <si>
    <t>Microcystin</t>
  </si>
  <si>
    <t>https://toxins.hais.ioc-unesco.org/toxins/72/</t>
  </si>
  <si>
    <t>Microcystin-LA</t>
  </si>
  <si>
    <t>https://toxins.hais.ioc-unesco.org/toxins/75/</t>
  </si>
  <si>
    <t>Microcystin-LF</t>
  </si>
  <si>
    <t>Microcystin-LW</t>
  </si>
  <si>
    <t>Microcystin-LY</t>
  </si>
  <si>
    <t>Microcystin-WR</t>
  </si>
  <si>
    <t>Microcystin-HilR</t>
  </si>
  <si>
    <t>https://toxins.hais.ioc-unesco.org/toxins/82/</t>
  </si>
  <si>
    <t>https://toxins.hais.ioc-unesco.org/toxins/83/</t>
  </si>
  <si>
    <t>https://toxins.hais.ioc-unesco.org/toxins/109/</t>
  </si>
  <si>
    <t>https://toxins.hais.ioc-unesco.org/toxins/64/</t>
  </si>
  <si>
    <t>https://toxins.hais.ioc-unesco.org/toxins/100/</t>
  </si>
  <si>
    <t>Microcystin-RR</t>
  </si>
  <si>
    <t>Microcystin-YR</t>
  </si>
  <si>
    <t>https://toxins.hais.ioc-unesco.org/toxins/116/</t>
  </si>
  <si>
    <t>https://toxins.hais.ioc-unesco.org/toxingroup/16/</t>
  </si>
  <si>
    <t>Nodularin</t>
  </si>
  <si>
    <t>MC_RR</t>
  </si>
  <si>
    <t>MC_LR</t>
  </si>
  <si>
    <t>MC_YR</t>
  </si>
  <si>
    <t>MC_LA</t>
  </si>
  <si>
    <t>MC_LF</t>
  </si>
  <si>
    <t>MC_LW</t>
  </si>
  <si>
    <t>MC_LY</t>
  </si>
  <si>
    <t>MC_WR</t>
  </si>
  <si>
    <t>MC_HilR</t>
  </si>
  <si>
    <t>C1_2</t>
  </si>
  <si>
    <t>C3_4</t>
  </si>
  <si>
    <t>C1 and C2 screening positive</t>
  </si>
  <si>
    <t>Domoic acid screening positive</t>
  </si>
  <si>
    <t>dcNEO screening positive</t>
  </si>
  <si>
    <t>GTX1 and 4 screening positive</t>
  </si>
  <si>
    <t>GTX2 and 3 screening positive</t>
  </si>
  <si>
    <t>dcGTX2 and 3 screening positive</t>
  </si>
  <si>
    <t>MC_RR_D_Asp3_E_Dhb7</t>
  </si>
  <si>
    <t>MC_LR_Dha7</t>
  </si>
  <si>
    <t>MC_RR_Dha7</t>
  </si>
  <si>
    <t>MC_HphR_DAsp3_E_Dhb7</t>
  </si>
  <si>
    <t>MC_HtyR_D_Asp3_E_Dhb7</t>
  </si>
  <si>
    <t>Microcystin-RR D-Asp3 E-Dhb7</t>
  </si>
  <si>
    <t>Microcystin-LR Dha7</t>
  </si>
  <si>
    <t>Microcystin-RR Dha7</t>
  </si>
  <si>
    <t>Microcystin-HphR DAsp3 E-Dhb7</t>
  </si>
  <si>
    <t>Microcystin-HtyR D-Asp3 E-Dhb7</t>
  </si>
  <si>
    <t>Ana a</t>
  </si>
  <si>
    <t>h Ana</t>
  </si>
  <si>
    <t>Microcystin-HTyR</t>
  </si>
  <si>
    <t>Microcystin-LR D-Asp3</t>
  </si>
  <si>
    <t>Microcystin-RR D-Asp3</t>
  </si>
  <si>
    <t>Ana_a</t>
  </si>
  <si>
    <t>h_Ana</t>
  </si>
  <si>
    <t>MC_HTyR</t>
  </si>
  <si>
    <t>MC_LR_D_Asp3</t>
  </si>
  <si>
    <t>MC_RR_D_Asp3</t>
  </si>
  <si>
    <t>NOD-R</t>
  </si>
  <si>
    <t>Nodularin-R</t>
  </si>
  <si>
    <t>https://toxins.hais.ioc-unesco.org/toxins/473/</t>
  </si>
  <si>
    <t>NOD_R</t>
  </si>
  <si>
    <t>[D-Asp3]MC-LR</t>
  </si>
  <si>
    <t>[D-Asp3]Microcystin-LR</t>
  </si>
  <si>
    <t>https://toxins.hais.ioc-unesco.org/toxins/167/</t>
  </si>
  <si>
    <t>https://toxins.hais.ioc-unesco.org/toxins/172/</t>
  </si>
  <si>
    <t>[D-Asp3]Microcystin-RR</t>
  </si>
  <si>
    <t>[D-Asp3]MC-RR</t>
  </si>
  <si>
    <t>https://toxins.hais.ioc-unesco.org/toxins/68/</t>
  </si>
  <si>
    <t>Microcystin-HtyR</t>
  </si>
  <si>
    <t>MC-HtyR</t>
  </si>
  <si>
    <t>https://toxins.hais.ioc-unesco.org/toxins/201/</t>
  </si>
  <si>
    <t>[Dha7]Microcystin-LR</t>
  </si>
  <si>
    <t>[Dha7]MC-LR</t>
  </si>
  <si>
    <t>https://toxins.hais.ioc-unesco.org/toxins/202/</t>
  </si>
  <si>
    <t>[Dha7]Microcystin-RR</t>
  </si>
  <si>
    <t>[Dha7]MC-RR</t>
  </si>
  <si>
    <t>Merge_MH</t>
  </si>
  <si>
    <t>STX_C3_C4</t>
  </si>
  <si>
    <t>STX_C1_C2</t>
  </si>
  <si>
    <t>Enhet_MH_kg</t>
  </si>
  <si>
    <t>mg YTX eq/L</t>
  </si>
  <si>
    <t>mg/L</t>
  </si>
  <si>
    <t>ug AZA eq/L</t>
  </si>
  <si>
    <t>ug STXdiHCL eq/L</t>
  </si>
  <si>
    <t>ug OA eq/L</t>
  </si>
  <si>
    <t>ug PTX eq/L</t>
  </si>
  <si>
    <t>ug/L</t>
  </si>
  <si>
    <t>Enhet_MH_l</t>
  </si>
  <si>
    <t>Anatoxin</t>
  </si>
  <si>
    <t>Z_Cyanotoxin</t>
  </si>
  <si>
    <t>Sorteringsgrupp1</t>
  </si>
  <si>
    <t>Sorteringsgrupp2</t>
  </si>
  <si>
    <t>METOA</t>
  </si>
  <si>
    <t>REFSK_ANA</t>
  </si>
  <si>
    <t>MET_COMNT</t>
  </si>
  <si>
    <t>LC-MS/MS</t>
  </si>
  <si>
    <t>EURL-SOP lipophilic toxins = EURLfM (2015) EU-harmonised standard operating procedure for determination of lipophilic marine biotoxins in molluscs by LC-MS/MS. Based on McNabb et al 2005</t>
  </si>
  <si>
    <t>no comment</t>
  </si>
  <si>
    <t>HPLC-fluorometric detection</t>
  </si>
  <si>
    <t>Lawrence et al. 2005, Turner et al. 2009, Turner et al. 2010</t>
  </si>
  <si>
    <t>Aida knows this</t>
  </si>
  <si>
    <t>Malin P. knows this</t>
  </si>
  <si>
    <t>NEO_screen_pos</t>
  </si>
  <si>
    <t>Neosaxitoxin screening positive</t>
  </si>
  <si>
    <t>C3 and C4 screening positive</t>
  </si>
  <si>
    <t>Decarbamoylsaxitoxin screening positive</t>
  </si>
  <si>
    <t>DA_screening</t>
  </si>
  <si>
    <t>PST_tot_screen_pos</t>
  </si>
  <si>
    <t>PST total screening positive</t>
  </si>
  <si>
    <t>Domoic acid screening value</t>
  </si>
  <si>
    <t>IOC_UNESCO_TOX_DB_URL</t>
  </si>
  <si>
    <t>CLOSE_LEV</t>
  </si>
  <si>
    <t>SHORT_IOC</t>
  </si>
  <si>
    <t>TOX_GROUP</t>
  </si>
  <si>
    <t>TOX_TYPE</t>
  </si>
  <si>
    <t>CAS</t>
  </si>
  <si>
    <t>UNCERT</t>
  </si>
  <si>
    <t>METCU</t>
  </si>
  <si>
    <t>LOQ</t>
  </si>
  <si>
    <t>DETLI</t>
  </si>
  <si>
    <t>RANA</t>
  </si>
  <si>
    <t>ALABO</t>
  </si>
  <si>
    <t>ACKR_ANA</t>
  </si>
  <si>
    <t>Eurofins</t>
  </si>
  <si>
    <t>Y</t>
  </si>
  <si>
    <t>265996-92-7</t>
  </si>
  <si>
    <t>265996-93-8</t>
  </si>
  <si>
    <t>14277-97-5</t>
  </si>
  <si>
    <t>81720-10-7</t>
  </si>
  <si>
    <t>139933-46-3</t>
  </si>
  <si>
    <t>78111-17-8</t>
  </si>
  <si>
    <t>97564-90-4</t>
  </si>
  <si>
    <t>97564-91-5</t>
  </si>
  <si>
    <t>35523-89-8</t>
  </si>
  <si>
    <t>https://toxins.hais.ioc-unesco.org/toxins/514/,https://toxins.hais.ioc-unesco.org/toxins/515/</t>
  </si>
  <si>
    <t>68683-58-9</t>
  </si>
  <si>
    <t>58911-04-9</t>
  </si>
  <si>
    <t>64296-25-9</t>
  </si>
  <si>
    <t>82810-44-4</t>
  </si>
  <si>
    <t>64296-20-4</t>
  </si>
  <si>
    <t>196309-97-4</t>
  </si>
  <si>
    <t>124863-39-4</t>
  </si>
  <si>
    <t>262842-91-1</t>
  </si>
  <si>
    <t>196309-94-1</t>
  </si>
  <si>
    <t>112514-54-2</t>
  </si>
  <si>
    <t>143545-90-8</t>
  </si>
  <si>
    <t>Gonyautoxin-2 and -3</t>
  </si>
  <si>
    <t>Escherichia coli in bivalve molluscs</t>
  </si>
  <si>
    <t>AZA total</t>
  </si>
  <si>
    <t>NERC_vocab_S27</t>
  </si>
  <si>
    <t>https://vocab.nerc.ac.uk/collection/S27/current/CS004031/</t>
  </si>
  <si>
    <t>https://vocab.nerc.ac.uk/collection/S27/current/CS004222/</t>
  </si>
  <si>
    <t>https://vocab.nerc.ac.uk/collection/S27/current/CS004216/</t>
  </si>
  <si>
    <t>https://vocab.nerc.ac.uk/collection/S27/current/CS004128/</t>
  </si>
  <si>
    <t>https://vocab.nerc.ac.uk/collection/S27/current/CS004223/</t>
  </si>
  <si>
    <t>https://vocab.nerc.ac.uk/collection/S27/current/CS004046/</t>
  </si>
  <si>
    <t>https://vocab.nerc.ac.uk/collection/S27/current/CS003969/</t>
  </si>
  <si>
    <t>https://vocab.nerc.ac.uk/collection/S27/current/CS004206/</t>
  </si>
  <si>
    <t>https://vocab.nerc.ac.uk/collection/S27/current/CS004224/</t>
  </si>
  <si>
    <t>https://vocab.nerc.ac.uk/collection/S27/current/CS004047/</t>
  </si>
  <si>
    <t>https://vocab.nerc.ac.uk/collection/S27/current/CS004013/</t>
  </si>
  <si>
    <t>https://vocab.nerc.ac.uk/collection/S27/current/CS004011/</t>
  </si>
  <si>
    <t>https://vocab.nerc.ac.uk/collection/S27/current/CS004220/</t>
  </si>
  <si>
    <t>https://vocab.nerc.ac.uk/collection/S27/current/CS004030/</t>
  </si>
  <si>
    <t>https://vocab.nerc.ac.uk/collection/S27/current/CS004234/</t>
  </si>
  <si>
    <t>https://vocab.nerc.ac.uk/collection/S27/current/CS004033/</t>
  </si>
  <si>
    <t>https://vocab.nerc.ac.uk/collection/S27/current/CS004037/</t>
  </si>
  <si>
    <t>https://vocab.nerc.ac.uk/collection/S27/current/CS004038/</t>
  </si>
  <si>
    <t>https://vocab.nerc.ac.uk/collection/S27/current/CS004035/</t>
  </si>
  <si>
    <t>https://vocab.nerc.ac.uk/collection/S27/current/CS004036/</t>
  </si>
  <si>
    <t>https://vocab.nerc.ac.uk/collection/S27/current/CS004059/</t>
  </si>
  <si>
    <t>https://vocab.nerc.ac.uk/collection/S27/current/CS004014/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</si>
</sst>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62626"/>
      <name val="Calibri"/>
      <family val="2"/>
      <scheme val="minor"/>
    </font>
    <font>
      <sz val="11"/>
      <color rgb="FF001D3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1" fillId="3" borderId="0" xfId="0" applyFont="1" applyFill="1"/>
    <xf numFmtId="0" fontId="3" fillId="0" borderId="0" xfId="0" applyFont="1"/>
    <xf numFmtId="0" fontId="4" fillId="0" borderId="0" xfId="0" applyFont="1"/>
    <xf numFmtId="14" fontId="0" fillId="0" borderId="0" xfId="0" applyNumberFormat="1"/>
    <xf numFmtId="0" fontId="4" fillId="2" borderId="0" xfId="0" applyFont="1" applyFill="1"/>
    <xf numFmtId="0" fontId="4" fillId="3" borderId="0" xfId="0" applyFont="1" applyFill="1"/>
    <xf numFmtId="0" fontId="5" fillId="0" borderId="0" xfId="0" applyFont="1"/>
    <xf numFmtId="0" fontId="6" fillId="0" borderId="0" xfId="0" applyFont="1"/>
    <xf numFmtId="0" fontId="3" fillId="0" borderId="1" xfId="0" applyFont="1" applyBorder="1"/>
    <xf numFmtId="0" fontId="0" fillId="0" borderId="0" xfId="0" applyProtection="1">
      <protection locked="0"/>
    </xf>
    <xf numFmtId="0" fontId="4" fillId="0" borderId="0" xfId="0" applyFont="1" applyFill="1"/>
    <xf numFmtId="0" fontId="0" fillId="0" borderId="0" xfId="0" applyFill="1" applyProtection="1">
      <protection locked="0"/>
    </xf>
    <xf numFmtId="0" fontId="0" fillId="0" borderId="0" xfId="0" applyFill="1"/>
    <xf numFmtId="0" fontId="7" fillId="0" borderId="0" xfId="1" applyFill="1"/>
    <xf numFmtId="49" fontId="0" fillId="0" borderId="1" xfId="0" applyNumberFormat="1" applyBorder="1"/>
    <xf numFmtId="0" fontId="0" fillId="0" borderId="1" xfId="0" applyBorder="1"/>
    <xf numFmtId="2" fontId="0" fillId="0" borderId="1" xfId="0" applyNumberFormat="1" applyBorder="1"/>
    <xf numFmtId="0" fontId="7" fillId="0" borderId="0" xfId="1"/>
    <xf numFmtId="0" fontId="0" fillId="0" borderId="0" xfId="0" applyFont="1"/>
    <xf numFmtId="0" fontId="8" fillId="0" borderId="0" xfId="0" applyFont="1"/>
    <xf numFmtId="0" fontId="9" fillId="0" borderId="0" xfId="0" applyFont="1"/>
    <xf numFmtId="0" fontId="4" fillId="4" borderId="0" xfId="0" applyFont="1" applyFill="1"/>
    <xf numFmtId="14" fontId="7" fillId="0" borderId="0" xfId="1" applyNumberFormat="1"/>
  </cellXfs>
  <cellStyles count="2">
    <cellStyle name="Hyperlä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toxins.hais.ioc-unesco.org/toxins/517/" TargetMode="External"/><Relationship Id="rId18" Type="http://schemas.openxmlformats.org/officeDocument/2006/relationships/hyperlink" Target="https://toxins.hais.ioc-unesco.org/toxins/188/" TargetMode="External"/><Relationship Id="rId26" Type="http://schemas.openxmlformats.org/officeDocument/2006/relationships/hyperlink" Target="https://toxins.hais.ioc-unesco.org/toxins/68/" TargetMode="External"/><Relationship Id="rId3" Type="http://schemas.openxmlformats.org/officeDocument/2006/relationships/hyperlink" Target="https://toxins.hais.ioc-unesco.org/toxins/3/" TargetMode="External"/><Relationship Id="rId21" Type="http://schemas.openxmlformats.org/officeDocument/2006/relationships/hyperlink" Target="https://toxins.hais.ioc-unesco.org/toxins/186/" TargetMode="External"/><Relationship Id="rId34" Type="http://schemas.openxmlformats.org/officeDocument/2006/relationships/hyperlink" Target="https://vocab.nerc.ac.uk/collection/S27/current/CS004014/" TargetMode="External"/><Relationship Id="rId7" Type="http://schemas.openxmlformats.org/officeDocument/2006/relationships/hyperlink" Target="https://toxins.hais.ioc-unesco.org/toxins/1/" TargetMode="External"/><Relationship Id="rId12" Type="http://schemas.openxmlformats.org/officeDocument/2006/relationships/hyperlink" Target="https://toxins.hais.ioc-unesco.org/toxins/518/" TargetMode="External"/><Relationship Id="rId17" Type="http://schemas.openxmlformats.org/officeDocument/2006/relationships/hyperlink" Target="https://toxins.hais.ioc-unesco.org/toxins/476/" TargetMode="External"/><Relationship Id="rId25" Type="http://schemas.openxmlformats.org/officeDocument/2006/relationships/hyperlink" Target="https://toxins.hais.ioc-unesco.org/toxins/64/" TargetMode="External"/><Relationship Id="rId33" Type="http://schemas.openxmlformats.org/officeDocument/2006/relationships/hyperlink" Target="https://toxins.hais.ioc-unesco.org/toxins/172/" TargetMode="External"/><Relationship Id="rId2" Type="http://schemas.openxmlformats.org/officeDocument/2006/relationships/hyperlink" Target="https://toxins.hais.ioc-unesco.org/toxins/3/" TargetMode="External"/><Relationship Id="rId16" Type="http://schemas.openxmlformats.org/officeDocument/2006/relationships/hyperlink" Target="https://toxins.hais.ioc-unesco.org/toxins/523/" TargetMode="External"/><Relationship Id="rId20" Type="http://schemas.openxmlformats.org/officeDocument/2006/relationships/hyperlink" Target="https://toxins.hais.ioc-unesco.org/toxins/181/" TargetMode="External"/><Relationship Id="rId29" Type="http://schemas.openxmlformats.org/officeDocument/2006/relationships/hyperlink" Target="https://toxins.hais.ioc-unesco.org/toxins/27/" TargetMode="External"/><Relationship Id="rId1" Type="http://schemas.openxmlformats.org/officeDocument/2006/relationships/hyperlink" Target="https://toxins.hais.ioc-unesco.org/toxingroup/5/" TargetMode="External"/><Relationship Id="rId6" Type="http://schemas.openxmlformats.org/officeDocument/2006/relationships/hyperlink" Target="https://toxins.hais.ioc-unesco.org/toxins/8/" TargetMode="External"/><Relationship Id="rId11" Type="http://schemas.openxmlformats.org/officeDocument/2006/relationships/hyperlink" Target="https://toxins.hais.ioc-unesco.org/toxins/514/,https:/toxins.hais.ioc-unesco.org/toxins/515/" TargetMode="External"/><Relationship Id="rId24" Type="http://schemas.openxmlformats.org/officeDocument/2006/relationships/hyperlink" Target="https://toxins.hais.ioc-unesco.org/toxins/465/" TargetMode="External"/><Relationship Id="rId32" Type="http://schemas.openxmlformats.org/officeDocument/2006/relationships/hyperlink" Target="https://toxins.hais.ioc-unesco.org/toxins/2/" TargetMode="External"/><Relationship Id="rId5" Type="http://schemas.openxmlformats.org/officeDocument/2006/relationships/hyperlink" Target="https://toxins.hais.ioc-unesco.org/toxins/456/" TargetMode="External"/><Relationship Id="rId15" Type="http://schemas.openxmlformats.org/officeDocument/2006/relationships/hyperlink" Target="https://toxins.hais.ioc-unesco.org/toxins/512/" TargetMode="External"/><Relationship Id="rId23" Type="http://schemas.openxmlformats.org/officeDocument/2006/relationships/hyperlink" Target="https://toxins.hais.ioc-unesco.org/toxins/4/" TargetMode="External"/><Relationship Id="rId28" Type="http://schemas.openxmlformats.org/officeDocument/2006/relationships/hyperlink" Target="https://toxins.hais.ioc-unesco.org/toxins/75/" TargetMode="External"/><Relationship Id="rId10" Type="http://schemas.openxmlformats.org/officeDocument/2006/relationships/hyperlink" Target="https://toxins.hais.ioc-unesco.org/toxins/476/" TargetMode="External"/><Relationship Id="rId19" Type="http://schemas.openxmlformats.org/officeDocument/2006/relationships/hyperlink" Target="https://toxins.hais.ioc-unesco.org/toxins/185/" TargetMode="External"/><Relationship Id="rId31" Type="http://schemas.openxmlformats.org/officeDocument/2006/relationships/hyperlink" Target="https://toxins.hais.ioc-unesco.org/toxins/473/" TargetMode="External"/><Relationship Id="rId4" Type="http://schemas.openxmlformats.org/officeDocument/2006/relationships/hyperlink" Target="https://toxins.hais.ioc-unesco.org/toxins/6/" TargetMode="External"/><Relationship Id="rId9" Type="http://schemas.openxmlformats.org/officeDocument/2006/relationships/hyperlink" Target="https://toxins.hais.ioc-unesco.org/toxins/5/" TargetMode="External"/><Relationship Id="rId14" Type="http://schemas.openxmlformats.org/officeDocument/2006/relationships/hyperlink" Target="https://toxins.hais.ioc-unesco.org/toxins/511/" TargetMode="External"/><Relationship Id="rId22" Type="http://schemas.openxmlformats.org/officeDocument/2006/relationships/hyperlink" Target="https://toxins.hais.ioc-unesco.org/toxins/184/" TargetMode="External"/><Relationship Id="rId27" Type="http://schemas.openxmlformats.org/officeDocument/2006/relationships/hyperlink" Target="https://toxins.hais.ioc-unesco.org/toxins/72/" TargetMode="External"/><Relationship Id="rId30" Type="http://schemas.openxmlformats.org/officeDocument/2006/relationships/hyperlink" Target="https://toxins.hais.ioc-unesco.org/toxins/167/" TargetMode="External"/><Relationship Id="rId35" Type="http://schemas.openxmlformats.org/officeDocument/2006/relationships/printerSettings" Target="../printerSettings/printerSettings1.bin"/><Relationship Id="rId8" Type="http://schemas.openxmlformats.org/officeDocument/2006/relationships/hyperlink" Target="https://toxins.hais.ioc-unesco.org/toxins/4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718B0-4585-451D-AFD3-6923AD565DA1}">
  <dimension ref="A1:AI72"/>
  <sheetViews>
    <sheetView tabSelected="1" topLeftCell="AB1" zoomScale="90" zoomScaleNormal="90" workbookViewId="0">
      <selection activeCell="AD14" sqref="AD14"/>
    </sheetView>
  </sheetViews>
  <sheetFormatPr defaultColWidth="8.81640625" defaultRowHeight="14.5" x14ac:dyDescent="0.35"/>
  <cols>
    <col min="1" max="1" width="33.26953125" bestFit="1" customWidth="1"/>
    <col min="2" max="3" width="33.26953125" customWidth="1"/>
    <col min="4" max="4" width="12.26953125" customWidth="1"/>
    <col min="5" max="5" width="10.453125" customWidth="1"/>
    <col min="6" max="6" width="9.7265625" customWidth="1"/>
    <col min="7" max="7" width="8.7265625" customWidth="1"/>
    <col min="8" max="8" width="11.7265625" customWidth="1"/>
    <col min="9" max="9" width="10.81640625" customWidth="1"/>
    <col min="10" max="10" width="13.26953125" customWidth="1"/>
    <col min="11" max="11" width="15.7265625" customWidth="1"/>
    <col min="12" max="12" width="50.1796875" bestFit="1" customWidth="1"/>
    <col min="13" max="13" width="22.453125" customWidth="1"/>
    <col min="14" max="14" width="13.7265625" bestFit="1" customWidth="1"/>
    <col min="15" max="15" width="13.7265625" customWidth="1"/>
    <col min="16" max="16" width="20.81640625" bestFit="1" customWidth="1"/>
    <col min="17" max="18" width="21.26953125" customWidth="1"/>
    <col min="19" max="19" width="46.1796875" bestFit="1" customWidth="1"/>
    <col min="21" max="21" width="12.7265625" customWidth="1"/>
    <col min="22" max="22" width="8.1796875" customWidth="1"/>
    <col min="23" max="23" width="6.7265625" customWidth="1"/>
    <col min="24" max="24" width="3.7265625" bestFit="1" customWidth="1"/>
    <col min="25" max="25" width="16.81640625" bestFit="1" customWidth="1"/>
    <col min="26" max="26" width="27.453125" customWidth="1"/>
    <col min="27" max="27" width="18.26953125" bestFit="1" customWidth="1"/>
    <col min="28" max="28" width="53.7265625" customWidth="1"/>
    <col min="29" max="29" width="25.26953125" bestFit="1" customWidth="1"/>
    <col min="30" max="30" width="51.81640625" bestFit="1" customWidth="1"/>
    <col min="31" max="31" width="26.1796875" bestFit="1" customWidth="1"/>
    <col min="32" max="32" width="32.1796875" bestFit="1" customWidth="1"/>
    <col min="33" max="33" width="18.26953125" bestFit="1" customWidth="1"/>
    <col min="34" max="34" width="18.26953125" customWidth="1"/>
    <col min="35" max="35" width="29.26953125" bestFit="1" customWidth="1"/>
  </cols>
  <sheetData>
    <row r="1" spans="1:35" s="1" customFormat="1" x14ac:dyDescent="0.35">
      <c r="A1" s="1" t="s">
        <v>84</v>
      </c>
      <c r="B1" s="10" t="s">
        <v>340</v>
      </c>
      <c r="C1" s="10" t="s">
        <v>341</v>
      </c>
      <c r="D1" s="10" t="s">
        <v>342</v>
      </c>
      <c r="E1" s="16" t="s">
        <v>364</v>
      </c>
      <c r="F1" s="17" t="s">
        <v>365</v>
      </c>
      <c r="G1" s="18" t="s">
        <v>366</v>
      </c>
      <c r="H1" s="17" t="s">
        <v>367</v>
      </c>
      <c r="I1" s="17" t="s">
        <v>368</v>
      </c>
      <c r="J1" s="17" t="s">
        <v>369</v>
      </c>
      <c r="K1" s="17" t="s">
        <v>370</v>
      </c>
      <c r="L1" s="2" t="s">
        <v>172</v>
      </c>
      <c r="M1" s="2" t="s">
        <v>176</v>
      </c>
      <c r="N1" s="1" t="s">
        <v>362</v>
      </c>
      <c r="O1" s="1" t="s">
        <v>361</v>
      </c>
      <c r="P1" s="1" t="s">
        <v>363</v>
      </c>
      <c r="Q1" s="1" t="s">
        <v>338</v>
      </c>
      <c r="R1" s="1" t="s">
        <v>339</v>
      </c>
      <c r="S1" s="1" t="s">
        <v>87</v>
      </c>
      <c r="U1" s="1" t="s">
        <v>49</v>
      </c>
      <c r="V1" s="1" t="s">
        <v>126</v>
      </c>
      <c r="W1" s="1" t="s">
        <v>359</v>
      </c>
      <c r="X1" s="1" t="s">
        <v>149</v>
      </c>
      <c r="Y1" s="1" t="s">
        <v>360</v>
      </c>
      <c r="Z1" s="1" t="s">
        <v>83</v>
      </c>
      <c r="AA1" s="1" t="s">
        <v>0</v>
      </c>
      <c r="AB1" s="1" t="s">
        <v>358</v>
      </c>
      <c r="AC1" s="1" t="s">
        <v>45</v>
      </c>
      <c r="AD1" s="1" t="s">
        <v>397</v>
      </c>
      <c r="AE1" s="2" t="s">
        <v>184</v>
      </c>
      <c r="AF1" s="2" t="s">
        <v>220</v>
      </c>
      <c r="AG1" s="2" t="s">
        <v>327</v>
      </c>
      <c r="AH1" s="2" t="s">
        <v>335</v>
      </c>
      <c r="AI1" s="2" t="s">
        <v>324</v>
      </c>
    </row>
    <row r="2" spans="1:35" x14ac:dyDescent="0.35">
      <c r="A2" s="4" t="s">
        <v>25</v>
      </c>
      <c r="B2" s="4"/>
      <c r="C2" s="4" t="s">
        <v>349</v>
      </c>
      <c r="D2" s="4"/>
      <c r="E2" s="4"/>
      <c r="F2" s="4"/>
      <c r="G2" s="4"/>
      <c r="H2" s="4"/>
      <c r="I2" s="4"/>
      <c r="J2" s="4" t="s">
        <v>371</v>
      </c>
      <c r="K2" s="4" t="s">
        <v>372</v>
      </c>
      <c r="L2" s="4" t="s">
        <v>174</v>
      </c>
      <c r="M2" s="4" t="s">
        <v>178</v>
      </c>
      <c r="N2" s="4" t="s">
        <v>50</v>
      </c>
      <c r="O2" s="4" t="s">
        <v>50</v>
      </c>
      <c r="P2" s="4"/>
      <c r="Q2" s="4" t="s">
        <v>50</v>
      </c>
      <c r="R2" s="4" t="s">
        <v>50</v>
      </c>
      <c r="S2" s="4" t="s">
        <v>50</v>
      </c>
      <c r="U2" s="4" t="s">
        <v>120</v>
      </c>
      <c r="V2" s="4"/>
      <c r="W2" s="4"/>
      <c r="X2" s="4"/>
      <c r="Y2" s="4"/>
      <c r="Z2" s="4"/>
      <c r="AA2" s="4" t="s">
        <v>155</v>
      </c>
      <c r="AB2" s="4"/>
      <c r="AC2" s="5"/>
      <c r="AD2" s="5"/>
      <c r="AE2" s="12" t="s">
        <v>197</v>
      </c>
      <c r="AF2" s="12" t="s">
        <v>395</v>
      </c>
      <c r="AG2" s="4" t="s">
        <v>155</v>
      </c>
      <c r="AH2" s="4" t="s">
        <v>155</v>
      </c>
      <c r="AI2" t="str">
        <f t="shared" ref="AI2:AI33" si="0">CONCATENATE(AE2, " (", AG2, ")")</f>
        <v>E_coli (cells/100 g)</v>
      </c>
    </row>
    <row r="3" spans="1:35" ht="14.5" customHeight="1" x14ac:dyDescent="0.35">
      <c r="A3" s="4" t="s">
        <v>5</v>
      </c>
      <c r="B3" s="11" t="s">
        <v>343</v>
      </c>
      <c r="C3" s="11" t="s">
        <v>344</v>
      </c>
      <c r="D3" s="11" t="s">
        <v>345</v>
      </c>
      <c r="E3" s="11"/>
      <c r="F3" s="11"/>
      <c r="G3" s="11"/>
      <c r="H3" s="11"/>
      <c r="I3" s="11"/>
      <c r="J3" s="4" t="s">
        <v>371</v>
      </c>
      <c r="K3" s="4" t="s">
        <v>372</v>
      </c>
      <c r="L3" s="4" t="s">
        <v>173</v>
      </c>
      <c r="M3" s="4" t="s">
        <v>178</v>
      </c>
      <c r="N3" s="4" t="s">
        <v>53</v>
      </c>
      <c r="O3" s="4" t="s">
        <v>88</v>
      </c>
      <c r="P3" s="21"/>
      <c r="Q3" s="4" t="s">
        <v>88</v>
      </c>
      <c r="R3" s="4" t="s">
        <v>88</v>
      </c>
      <c r="S3" s="4" t="s">
        <v>89</v>
      </c>
      <c r="U3" s="4" t="s">
        <v>72</v>
      </c>
      <c r="V3" s="4">
        <v>30</v>
      </c>
      <c r="W3" s="4"/>
      <c r="X3" s="4"/>
      <c r="Y3" s="4" t="s">
        <v>72</v>
      </c>
      <c r="Z3" s="4" t="s">
        <v>69</v>
      </c>
      <c r="AA3" s="4" t="s">
        <v>75</v>
      </c>
      <c r="AB3" s="19" t="s">
        <v>76</v>
      </c>
      <c r="AC3" s="5">
        <v>45691</v>
      </c>
      <c r="AD3" s="5" t="s">
        <v>410</v>
      </c>
      <c r="AE3" s="12" t="s">
        <v>72</v>
      </c>
      <c r="AF3" s="12" t="s">
        <v>69</v>
      </c>
      <c r="AG3" s="4" t="s">
        <v>179</v>
      </c>
      <c r="AH3" s="4" t="s">
        <v>330</v>
      </c>
      <c r="AI3" t="str">
        <f t="shared" si="0"/>
        <v>AZA1 (ug AZA eq/kg)</v>
      </c>
    </row>
    <row r="4" spans="1:35" x14ac:dyDescent="0.35">
      <c r="A4" s="4" t="s">
        <v>6</v>
      </c>
      <c r="B4" s="11" t="s">
        <v>343</v>
      </c>
      <c r="C4" s="11" t="s">
        <v>344</v>
      </c>
      <c r="D4" s="11" t="s">
        <v>345</v>
      </c>
      <c r="E4" s="11"/>
      <c r="F4" s="11"/>
      <c r="G4" s="11"/>
      <c r="H4" s="11"/>
      <c r="I4" s="11"/>
      <c r="J4" s="4" t="s">
        <v>371</v>
      </c>
      <c r="K4" s="4" t="s">
        <v>372</v>
      </c>
      <c r="L4" s="4" t="s">
        <v>173</v>
      </c>
      <c r="M4" s="4" t="s">
        <v>178</v>
      </c>
      <c r="N4" s="4" t="s">
        <v>53</v>
      </c>
      <c r="O4" s="4" t="s">
        <v>88</v>
      </c>
      <c r="P4" s="22" t="s">
        <v>373</v>
      </c>
      <c r="Q4" s="4" t="s">
        <v>88</v>
      </c>
      <c r="R4" s="4" t="s">
        <v>88</v>
      </c>
      <c r="S4" s="4" t="s">
        <v>89</v>
      </c>
      <c r="U4" s="4" t="s">
        <v>73</v>
      </c>
      <c r="V4" s="4">
        <v>30</v>
      </c>
      <c r="W4" s="4"/>
      <c r="X4" s="4"/>
      <c r="Y4" s="4" t="s">
        <v>73</v>
      </c>
      <c r="Z4" s="4" t="s">
        <v>70</v>
      </c>
      <c r="AA4" s="4" t="s">
        <v>75</v>
      </c>
      <c r="AB4" t="s">
        <v>77</v>
      </c>
      <c r="AC4" s="5">
        <v>45691</v>
      </c>
      <c r="AD4" s="5" t="s">
        <v>411</v>
      </c>
      <c r="AE4" s="12" t="s">
        <v>73</v>
      </c>
      <c r="AF4" s="12" t="s">
        <v>70</v>
      </c>
      <c r="AG4" s="4" t="s">
        <v>179</v>
      </c>
      <c r="AH4" s="4" t="s">
        <v>330</v>
      </c>
      <c r="AI4" t="str">
        <f t="shared" si="0"/>
        <v>AZA2 (ug AZA eq/kg)</v>
      </c>
    </row>
    <row r="5" spans="1:35" x14ac:dyDescent="0.35">
      <c r="A5" s="4" t="s">
        <v>7</v>
      </c>
      <c r="B5" s="11" t="s">
        <v>343</v>
      </c>
      <c r="C5" s="11" t="s">
        <v>344</v>
      </c>
      <c r="D5" s="11" t="s">
        <v>345</v>
      </c>
      <c r="E5" s="11"/>
      <c r="F5" s="11"/>
      <c r="G5" s="11"/>
      <c r="H5" s="11"/>
      <c r="I5" s="11"/>
      <c r="J5" s="4" t="s">
        <v>371</v>
      </c>
      <c r="K5" s="4" t="s">
        <v>372</v>
      </c>
      <c r="L5" s="4" t="s">
        <v>173</v>
      </c>
      <c r="M5" s="4" t="s">
        <v>178</v>
      </c>
      <c r="N5" s="4" t="s">
        <v>53</v>
      </c>
      <c r="O5" s="4" t="s">
        <v>88</v>
      </c>
      <c r="P5" s="21" t="s">
        <v>374</v>
      </c>
      <c r="Q5" s="4" t="s">
        <v>88</v>
      </c>
      <c r="R5" s="4" t="s">
        <v>88</v>
      </c>
      <c r="S5" s="4" t="s">
        <v>89</v>
      </c>
      <c r="U5" s="4" t="s">
        <v>74</v>
      </c>
      <c r="V5" s="4">
        <v>30</v>
      </c>
      <c r="W5" s="4"/>
      <c r="X5" s="4"/>
      <c r="Y5" s="4" t="s">
        <v>74</v>
      </c>
      <c r="Z5" s="4" t="s">
        <v>71</v>
      </c>
      <c r="AA5" s="4" t="s">
        <v>75</v>
      </c>
      <c r="AB5" s="4" t="s">
        <v>78</v>
      </c>
      <c r="AC5" s="5">
        <v>45691</v>
      </c>
      <c r="AD5" s="5" t="s">
        <v>398</v>
      </c>
      <c r="AE5" s="12" t="s">
        <v>74</v>
      </c>
      <c r="AF5" s="12" t="s">
        <v>71</v>
      </c>
      <c r="AG5" s="4" t="s">
        <v>179</v>
      </c>
      <c r="AH5" s="4" t="s">
        <v>330</v>
      </c>
      <c r="AI5" t="str">
        <f t="shared" si="0"/>
        <v>AZA3 (ug AZA eq/kg)</v>
      </c>
    </row>
    <row r="6" spans="1:35" x14ac:dyDescent="0.35">
      <c r="A6" s="4" t="s">
        <v>8</v>
      </c>
      <c r="B6" s="11" t="s">
        <v>343</v>
      </c>
      <c r="C6" s="11" t="s">
        <v>344</v>
      </c>
      <c r="D6" s="11" t="s">
        <v>345</v>
      </c>
      <c r="E6" s="11"/>
      <c r="F6" s="11"/>
      <c r="G6" s="11"/>
      <c r="H6" s="11"/>
      <c r="I6" s="11"/>
      <c r="J6" s="4" t="s">
        <v>371</v>
      </c>
      <c r="K6" s="4" t="s">
        <v>372</v>
      </c>
      <c r="L6" s="4" t="s">
        <v>173</v>
      </c>
      <c r="M6" s="4" t="s">
        <v>178</v>
      </c>
      <c r="N6" s="4" t="s">
        <v>53</v>
      </c>
      <c r="O6" s="4" t="s">
        <v>88</v>
      </c>
      <c r="P6" s="4"/>
      <c r="Q6" s="4" t="s">
        <v>88</v>
      </c>
      <c r="R6" s="4" t="s">
        <v>88</v>
      </c>
      <c r="S6" s="4" t="s">
        <v>89</v>
      </c>
      <c r="U6" s="4" t="s">
        <v>79</v>
      </c>
      <c r="V6" s="4">
        <v>30</v>
      </c>
      <c r="W6" s="4">
        <v>160</v>
      </c>
      <c r="X6" s="4"/>
      <c r="Y6" s="4"/>
      <c r="Z6" s="4"/>
      <c r="AA6" s="4" t="s">
        <v>75</v>
      </c>
      <c r="AB6" s="4"/>
      <c r="AC6" s="5">
        <v>45691</v>
      </c>
      <c r="AD6" s="5"/>
      <c r="AE6" s="12" t="s">
        <v>191</v>
      </c>
      <c r="AF6" s="12" t="s">
        <v>396</v>
      </c>
      <c r="AG6" s="4" t="s">
        <v>179</v>
      </c>
      <c r="AH6" s="4" t="s">
        <v>330</v>
      </c>
      <c r="AI6" t="str">
        <f t="shared" si="0"/>
        <v>AZA_tot (ug AZA eq/kg)</v>
      </c>
    </row>
    <row r="7" spans="1:35" s="14" customFormat="1" ht="14.5" customHeight="1" x14ac:dyDescent="0.35">
      <c r="A7" s="12" t="s">
        <v>1</v>
      </c>
      <c r="B7" s="13" t="s">
        <v>343</v>
      </c>
      <c r="C7" s="13" t="s">
        <v>344</v>
      </c>
      <c r="D7" s="13" t="s">
        <v>345</v>
      </c>
      <c r="E7" s="13"/>
      <c r="F7" s="13"/>
      <c r="G7" s="13"/>
      <c r="H7" s="13"/>
      <c r="I7" s="13"/>
      <c r="J7" s="4" t="s">
        <v>371</v>
      </c>
      <c r="K7" s="4" t="s">
        <v>372</v>
      </c>
      <c r="L7" s="12" t="s">
        <v>171</v>
      </c>
      <c r="M7" s="12" t="s">
        <v>178</v>
      </c>
      <c r="N7" s="12" t="s">
        <v>52</v>
      </c>
      <c r="O7" s="12" t="s">
        <v>47</v>
      </c>
      <c r="P7" s="21" t="s">
        <v>375</v>
      </c>
      <c r="Q7" s="12" t="s">
        <v>47</v>
      </c>
      <c r="R7" s="12" t="s">
        <v>47</v>
      </c>
      <c r="S7" s="12" t="s">
        <v>108</v>
      </c>
      <c r="U7" s="12" t="s">
        <v>46</v>
      </c>
      <c r="V7" s="12">
        <v>3</v>
      </c>
      <c r="W7" s="12">
        <v>20</v>
      </c>
      <c r="X7" s="12">
        <v>1</v>
      </c>
      <c r="Y7" s="12" t="s">
        <v>46</v>
      </c>
      <c r="Z7" s="12" t="s">
        <v>47</v>
      </c>
      <c r="AA7" s="12" t="s">
        <v>48</v>
      </c>
      <c r="AB7" s="15" t="s">
        <v>44</v>
      </c>
      <c r="AC7" s="5">
        <v>45688</v>
      </c>
      <c r="AD7" s="5" t="s">
        <v>412</v>
      </c>
      <c r="AE7" s="12" t="s">
        <v>46</v>
      </c>
      <c r="AF7" s="12" t="s">
        <v>47</v>
      </c>
      <c r="AG7" s="12" t="s">
        <v>48</v>
      </c>
      <c r="AH7" s="12" t="s">
        <v>329</v>
      </c>
      <c r="AI7" s="14" t="str">
        <f t="shared" si="0"/>
        <v>DA (mg/kg)</v>
      </c>
    </row>
    <row r="8" spans="1:35" s="14" customFormat="1" ht="14.5" customHeight="1" x14ac:dyDescent="0.35">
      <c r="A8" s="12" t="s">
        <v>167</v>
      </c>
      <c r="B8" s="13" t="s">
        <v>343</v>
      </c>
      <c r="C8" s="13" t="s">
        <v>344</v>
      </c>
      <c r="D8" s="13" t="s">
        <v>345</v>
      </c>
      <c r="E8" s="13"/>
      <c r="F8" s="13"/>
      <c r="G8" s="13"/>
      <c r="H8" s="13"/>
      <c r="I8" s="13"/>
      <c r="J8" s="4" t="s">
        <v>371</v>
      </c>
      <c r="K8" s="4" t="s">
        <v>372</v>
      </c>
      <c r="L8" s="12" t="s">
        <v>171</v>
      </c>
      <c r="M8" s="12" t="s">
        <v>177</v>
      </c>
      <c r="N8" s="12"/>
      <c r="O8" s="12"/>
      <c r="P8" s="12"/>
      <c r="Q8" s="12" t="s">
        <v>47</v>
      </c>
      <c r="R8" s="12" t="s">
        <v>47</v>
      </c>
      <c r="S8" s="12"/>
      <c r="U8" s="12"/>
      <c r="V8" s="12"/>
      <c r="W8" s="12"/>
      <c r="X8" s="12"/>
      <c r="Y8" s="12"/>
      <c r="Z8" s="12"/>
      <c r="AA8" s="12"/>
      <c r="AB8" s="4"/>
      <c r="AC8" s="5"/>
      <c r="AD8" s="5" t="s">
        <v>412</v>
      </c>
      <c r="AE8" s="12" t="s">
        <v>196</v>
      </c>
      <c r="AF8" s="12" t="s">
        <v>280</v>
      </c>
      <c r="AG8" s="12" t="s">
        <v>206</v>
      </c>
      <c r="AH8" s="12" t="s">
        <v>206</v>
      </c>
      <c r="AI8" s="14" t="str">
        <f t="shared" si="0"/>
        <v>DA_screen_pos (true or false)</v>
      </c>
    </row>
    <row r="9" spans="1:35" s="14" customFormat="1" ht="14.5" customHeight="1" x14ac:dyDescent="0.35">
      <c r="A9" s="12" t="s">
        <v>10</v>
      </c>
      <c r="B9" s="13" t="s">
        <v>343</v>
      </c>
      <c r="C9" s="13" t="s">
        <v>344</v>
      </c>
      <c r="D9" s="13" t="s">
        <v>345</v>
      </c>
      <c r="E9" s="13"/>
      <c r="F9" s="13"/>
      <c r="G9" s="13"/>
      <c r="H9" s="13"/>
      <c r="I9" s="13"/>
      <c r="J9" s="4" t="s">
        <v>371</v>
      </c>
      <c r="K9" s="4" t="s">
        <v>372</v>
      </c>
      <c r="L9" s="12" t="s">
        <v>171</v>
      </c>
      <c r="M9" s="12" t="s">
        <v>178</v>
      </c>
      <c r="N9" s="12" t="s">
        <v>52</v>
      </c>
      <c r="O9" s="12" t="s">
        <v>47</v>
      </c>
      <c r="P9" s="12"/>
      <c r="Q9" s="12" t="s">
        <v>47</v>
      </c>
      <c r="R9" s="12" t="s">
        <v>47</v>
      </c>
      <c r="S9" s="12" t="s">
        <v>108</v>
      </c>
      <c r="U9" s="23"/>
      <c r="V9" s="12"/>
      <c r="W9" s="12"/>
      <c r="X9" s="12"/>
      <c r="Y9" s="12"/>
      <c r="Z9" s="12"/>
      <c r="AA9" s="23"/>
      <c r="AB9" s="15" t="s">
        <v>44</v>
      </c>
      <c r="AC9" s="5">
        <v>45691</v>
      </c>
      <c r="AD9" s="5" t="s">
        <v>412</v>
      </c>
      <c r="AE9" s="12" t="s">
        <v>354</v>
      </c>
      <c r="AF9" s="12" t="s">
        <v>357</v>
      </c>
      <c r="AG9" s="12" t="s">
        <v>48</v>
      </c>
      <c r="AH9" s="12" t="s">
        <v>329</v>
      </c>
      <c r="AI9" s="14" t="str">
        <f t="shared" si="0"/>
        <v>DA_screening (mg/kg)</v>
      </c>
    </row>
    <row r="10" spans="1:35" x14ac:dyDescent="0.35">
      <c r="A10" s="4" t="s">
        <v>11</v>
      </c>
      <c r="B10" s="11" t="s">
        <v>343</v>
      </c>
      <c r="C10" s="11" t="s">
        <v>344</v>
      </c>
      <c r="D10" s="11" t="s">
        <v>345</v>
      </c>
      <c r="E10" s="11"/>
      <c r="F10" s="11"/>
      <c r="G10" s="11"/>
      <c r="H10" s="11"/>
      <c r="I10" s="11"/>
      <c r="J10" s="4" t="s">
        <v>371</v>
      </c>
      <c r="K10" s="4" t="s">
        <v>372</v>
      </c>
      <c r="L10" s="4" t="s">
        <v>173</v>
      </c>
      <c r="M10" s="4" t="s">
        <v>178</v>
      </c>
      <c r="N10" s="4" t="s">
        <v>53</v>
      </c>
      <c r="O10" s="4" t="s">
        <v>91</v>
      </c>
      <c r="P10" s="4"/>
      <c r="Q10" s="4" t="s">
        <v>91</v>
      </c>
      <c r="R10" s="4" t="s">
        <v>91</v>
      </c>
      <c r="S10" s="4" t="s">
        <v>95</v>
      </c>
      <c r="U10" s="4" t="s">
        <v>135</v>
      </c>
      <c r="V10" s="4">
        <v>30</v>
      </c>
      <c r="W10" s="4">
        <v>160</v>
      </c>
      <c r="X10" s="4"/>
      <c r="Y10" s="4"/>
      <c r="Z10" s="4"/>
      <c r="AA10" s="4" t="s">
        <v>100</v>
      </c>
      <c r="AC10" s="5">
        <v>45691</v>
      </c>
      <c r="AD10" s="5"/>
      <c r="AE10" s="12" t="s">
        <v>192</v>
      </c>
      <c r="AF10" s="12" t="s">
        <v>211</v>
      </c>
      <c r="AG10" s="4" t="s">
        <v>181</v>
      </c>
      <c r="AH10" s="4" t="s">
        <v>332</v>
      </c>
      <c r="AI10" t="str">
        <f t="shared" si="0"/>
        <v>DST_tot (ug OA eq/kg)</v>
      </c>
    </row>
    <row r="11" spans="1:35" x14ac:dyDescent="0.35">
      <c r="A11" s="4" t="s">
        <v>12</v>
      </c>
      <c r="B11" s="11" t="s">
        <v>343</v>
      </c>
      <c r="C11" s="11" t="s">
        <v>344</v>
      </c>
      <c r="D11" s="11" t="s">
        <v>345</v>
      </c>
      <c r="E11" s="11"/>
      <c r="F11" s="11"/>
      <c r="G11" s="11"/>
      <c r="H11" s="11"/>
      <c r="I11" s="11"/>
      <c r="J11" s="4" t="s">
        <v>371</v>
      </c>
      <c r="K11" s="4" t="s">
        <v>372</v>
      </c>
      <c r="L11" s="4" t="s">
        <v>173</v>
      </c>
      <c r="M11" s="4" t="s">
        <v>178</v>
      </c>
      <c r="N11" s="4" t="s">
        <v>53</v>
      </c>
      <c r="O11" s="4" t="s">
        <v>91</v>
      </c>
      <c r="P11" s="21" t="s">
        <v>376</v>
      </c>
      <c r="Q11" s="4" t="s">
        <v>91</v>
      </c>
      <c r="R11" s="4" t="s">
        <v>91</v>
      </c>
      <c r="S11" s="4" t="s">
        <v>95</v>
      </c>
      <c r="U11" s="4" t="s">
        <v>96</v>
      </c>
      <c r="V11" s="4">
        <v>30</v>
      </c>
      <c r="W11" s="4"/>
      <c r="X11" s="4"/>
      <c r="Y11" s="4" t="s">
        <v>96</v>
      </c>
      <c r="Z11" s="4" t="s">
        <v>98</v>
      </c>
      <c r="AA11" s="4" t="s">
        <v>100</v>
      </c>
      <c r="AB11" s="19" t="s">
        <v>99</v>
      </c>
      <c r="AC11" s="5">
        <v>45691</v>
      </c>
      <c r="AD11" s="5" t="s">
        <v>408</v>
      </c>
      <c r="AE11" s="12" t="s">
        <v>96</v>
      </c>
      <c r="AF11" s="12" t="s">
        <v>98</v>
      </c>
      <c r="AG11" s="4" t="s">
        <v>181</v>
      </c>
      <c r="AH11" s="4" t="s">
        <v>332</v>
      </c>
      <c r="AI11" t="str">
        <f t="shared" si="0"/>
        <v>DTX1 (ug OA eq/kg)</v>
      </c>
    </row>
    <row r="12" spans="1:35" x14ac:dyDescent="0.35">
      <c r="A12" s="4" t="s">
        <v>13</v>
      </c>
      <c r="B12" s="11" t="s">
        <v>343</v>
      </c>
      <c r="C12" s="11" t="s">
        <v>344</v>
      </c>
      <c r="D12" s="11" t="s">
        <v>345</v>
      </c>
      <c r="E12" s="11"/>
      <c r="F12" s="11"/>
      <c r="G12" s="11"/>
      <c r="H12" s="11"/>
      <c r="I12" s="11"/>
      <c r="J12" s="4" t="s">
        <v>371</v>
      </c>
      <c r="K12" s="4" t="s">
        <v>372</v>
      </c>
      <c r="L12" s="4" t="s">
        <v>173</v>
      </c>
      <c r="M12" s="4" t="s">
        <v>178</v>
      </c>
      <c r="N12" s="4" t="s">
        <v>53</v>
      </c>
      <c r="O12" s="4" t="s">
        <v>91</v>
      </c>
      <c r="P12" s="4"/>
      <c r="Q12" s="4" t="s">
        <v>91</v>
      </c>
      <c r="R12" s="4" t="s">
        <v>91</v>
      </c>
      <c r="S12" s="4" t="s">
        <v>95</v>
      </c>
      <c r="U12" s="4" t="s">
        <v>103</v>
      </c>
      <c r="V12" s="4">
        <v>30</v>
      </c>
      <c r="W12" s="4"/>
      <c r="X12" s="4"/>
      <c r="Y12" s="4" t="s">
        <v>103</v>
      </c>
      <c r="Z12" s="4" t="s">
        <v>104</v>
      </c>
      <c r="AA12" s="4" t="s">
        <v>100</v>
      </c>
      <c r="AB12" s="19" t="s">
        <v>105</v>
      </c>
      <c r="AC12" s="5">
        <v>45691</v>
      </c>
      <c r="AD12" s="5"/>
      <c r="AE12" s="12" t="s">
        <v>103</v>
      </c>
      <c r="AF12" s="12" t="s">
        <v>104</v>
      </c>
      <c r="AG12" s="4" t="s">
        <v>181</v>
      </c>
      <c r="AH12" s="4" t="s">
        <v>332</v>
      </c>
      <c r="AI12" t="str">
        <f t="shared" si="0"/>
        <v>DTX3 (ug OA eq/kg)</v>
      </c>
    </row>
    <row r="13" spans="1:35" x14ac:dyDescent="0.35">
      <c r="A13" s="4" t="s">
        <v>14</v>
      </c>
      <c r="B13" s="11" t="s">
        <v>343</v>
      </c>
      <c r="C13" s="11" t="s">
        <v>344</v>
      </c>
      <c r="D13" s="11" t="s">
        <v>345</v>
      </c>
      <c r="E13" s="11"/>
      <c r="F13" s="11"/>
      <c r="G13" s="11"/>
      <c r="H13" s="11"/>
      <c r="I13" s="11"/>
      <c r="J13" s="4" t="s">
        <v>371</v>
      </c>
      <c r="K13" s="4" t="s">
        <v>372</v>
      </c>
      <c r="L13" s="4" t="s">
        <v>173</v>
      </c>
      <c r="M13" s="4" t="s">
        <v>178</v>
      </c>
      <c r="N13" s="4" t="s">
        <v>53</v>
      </c>
      <c r="O13" s="4" t="s">
        <v>91</v>
      </c>
      <c r="P13" s="21" t="s">
        <v>377</v>
      </c>
      <c r="Q13" s="4" t="s">
        <v>91</v>
      </c>
      <c r="R13" s="4" t="s">
        <v>91</v>
      </c>
      <c r="S13" s="4" t="s">
        <v>95</v>
      </c>
      <c r="U13" s="4" t="s">
        <v>97</v>
      </c>
      <c r="V13" s="4">
        <v>30</v>
      </c>
      <c r="W13" s="4"/>
      <c r="X13" s="4"/>
      <c r="Y13" s="4" t="s">
        <v>97</v>
      </c>
      <c r="Z13" s="4" t="s">
        <v>101</v>
      </c>
      <c r="AA13" s="4" t="s">
        <v>100</v>
      </c>
      <c r="AB13" s="19" t="s">
        <v>102</v>
      </c>
      <c r="AC13" s="5">
        <v>45691</v>
      </c>
      <c r="AD13" s="5" t="s">
        <v>409</v>
      </c>
      <c r="AE13" s="12" t="s">
        <v>97</v>
      </c>
      <c r="AF13" s="12" t="s">
        <v>101</v>
      </c>
      <c r="AG13" s="4" t="s">
        <v>181</v>
      </c>
      <c r="AH13" s="4" t="s">
        <v>332</v>
      </c>
      <c r="AI13" t="str">
        <f t="shared" si="0"/>
        <v>DTX2 (ug OA eq/kg)</v>
      </c>
    </row>
    <row r="14" spans="1:35" x14ac:dyDescent="0.35">
      <c r="A14" s="4" t="s">
        <v>15</v>
      </c>
      <c r="B14" s="11" t="s">
        <v>343</v>
      </c>
      <c r="C14" s="11" t="s">
        <v>344</v>
      </c>
      <c r="D14" s="11" t="s">
        <v>345</v>
      </c>
      <c r="E14" s="11"/>
      <c r="F14" s="11"/>
      <c r="G14" s="11"/>
      <c r="H14" s="11"/>
      <c r="I14" s="11"/>
      <c r="J14" s="4" t="s">
        <v>371</v>
      </c>
      <c r="K14" s="4" t="s">
        <v>372</v>
      </c>
      <c r="L14" s="4" t="s">
        <v>173</v>
      </c>
      <c r="M14" s="4" t="s">
        <v>178</v>
      </c>
      <c r="N14" s="4" t="s">
        <v>53</v>
      </c>
      <c r="O14" s="4" t="s">
        <v>91</v>
      </c>
      <c r="P14" s="4"/>
      <c r="Q14" s="4" t="s">
        <v>91</v>
      </c>
      <c r="R14" s="4" t="s">
        <v>91</v>
      </c>
      <c r="S14" s="4" t="s">
        <v>95</v>
      </c>
      <c r="U14" s="4" t="s">
        <v>107</v>
      </c>
      <c r="V14" s="4">
        <v>30</v>
      </c>
      <c r="W14" s="4"/>
      <c r="X14" s="4"/>
      <c r="Y14" s="4"/>
      <c r="Z14" s="4"/>
      <c r="AA14" s="4" t="s">
        <v>100</v>
      </c>
      <c r="AC14" s="5">
        <v>45691</v>
      </c>
      <c r="AD14" s="5"/>
      <c r="AE14" s="12" t="s">
        <v>107</v>
      </c>
      <c r="AF14" s="12" t="s">
        <v>212</v>
      </c>
      <c r="AG14" s="4" t="s">
        <v>181</v>
      </c>
      <c r="AH14" s="4" t="s">
        <v>332</v>
      </c>
      <c r="AI14" t="str">
        <f t="shared" si="0"/>
        <v>DTX2_acyl (ug OA eq/kg)</v>
      </c>
    </row>
    <row r="15" spans="1:35" x14ac:dyDescent="0.35">
      <c r="A15" s="4" t="s">
        <v>17</v>
      </c>
      <c r="B15" s="11" t="s">
        <v>343</v>
      </c>
      <c r="C15" s="11" t="s">
        <v>344</v>
      </c>
      <c r="D15" s="11" t="s">
        <v>345</v>
      </c>
      <c r="E15" s="11"/>
      <c r="F15" s="11"/>
      <c r="G15" s="11"/>
      <c r="H15" s="11"/>
      <c r="I15" s="11"/>
      <c r="J15" s="4" t="s">
        <v>371</v>
      </c>
      <c r="K15" s="4" t="s">
        <v>372</v>
      </c>
      <c r="L15" s="4" t="s">
        <v>173</v>
      </c>
      <c r="M15" s="4" t="s">
        <v>178</v>
      </c>
      <c r="N15" s="4" t="s">
        <v>53</v>
      </c>
      <c r="O15" s="4" t="s">
        <v>91</v>
      </c>
      <c r="P15" s="4"/>
      <c r="Q15" s="4" t="s">
        <v>91</v>
      </c>
      <c r="R15" s="4" t="s">
        <v>91</v>
      </c>
      <c r="S15" s="4" t="s">
        <v>95</v>
      </c>
      <c r="U15" s="4" t="s">
        <v>106</v>
      </c>
      <c r="V15" s="4">
        <v>30</v>
      </c>
      <c r="W15" s="4"/>
      <c r="X15" s="4"/>
      <c r="Y15" s="4"/>
      <c r="Z15" s="4"/>
      <c r="AA15" s="4" t="s">
        <v>100</v>
      </c>
      <c r="AB15" s="4"/>
      <c r="AC15" s="5">
        <v>45691</v>
      </c>
      <c r="AD15" s="5"/>
      <c r="AE15" s="12" t="s">
        <v>106</v>
      </c>
      <c r="AF15" s="12" t="s">
        <v>215</v>
      </c>
      <c r="AG15" s="4" t="s">
        <v>181</v>
      </c>
      <c r="AH15" s="4" t="s">
        <v>332</v>
      </c>
      <c r="AI15" t="str">
        <f t="shared" si="0"/>
        <v>OA_acyl (ug OA eq/kg)</v>
      </c>
    </row>
    <row r="16" spans="1:35" x14ac:dyDescent="0.35">
      <c r="A16" s="4" t="s">
        <v>18</v>
      </c>
      <c r="B16" s="11" t="s">
        <v>343</v>
      </c>
      <c r="C16" s="11" t="s">
        <v>344</v>
      </c>
      <c r="D16" s="11" t="s">
        <v>345</v>
      </c>
      <c r="E16" s="11"/>
      <c r="F16" s="11"/>
      <c r="G16" s="11"/>
      <c r="H16" s="11"/>
      <c r="I16" s="11"/>
      <c r="J16" s="4" t="s">
        <v>371</v>
      </c>
      <c r="K16" s="4" t="s">
        <v>372</v>
      </c>
      <c r="L16" s="4" t="s">
        <v>173</v>
      </c>
      <c r="M16" s="4" t="s">
        <v>178</v>
      </c>
      <c r="N16" s="4" t="s">
        <v>53</v>
      </c>
      <c r="O16" s="4" t="s">
        <v>91</v>
      </c>
      <c r="P16" s="21" t="s">
        <v>378</v>
      </c>
      <c r="Q16" s="4" t="s">
        <v>91</v>
      </c>
      <c r="R16" s="4" t="s">
        <v>91</v>
      </c>
      <c r="S16" s="4" t="s">
        <v>95</v>
      </c>
      <c r="U16" s="4" t="s">
        <v>92</v>
      </c>
      <c r="V16" s="4">
        <v>30</v>
      </c>
      <c r="W16" s="4"/>
      <c r="X16" s="4">
        <v>1</v>
      </c>
      <c r="Y16" s="4" t="s">
        <v>93</v>
      </c>
      <c r="Z16" s="4" t="s">
        <v>93</v>
      </c>
      <c r="AA16" s="4" t="s">
        <v>100</v>
      </c>
      <c r="AB16" s="19" t="s">
        <v>94</v>
      </c>
      <c r="AC16" s="5">
        <v>45691</v>
      </c>
      <c r="AD16" s="24" t="s">
        <v>419</v>
      </c>
      <c r="AE16" s="12" t="s">
        <v>93</v>
      </c>
      <c r="AF16" s="12" t="s">
        <v>93</v>
      </c>
      <c r="AG16" s="4" t="s">
        <v>181</v>
      </c>
      <c r="AH16" s="4" t="s">
        <v>332</v>
      </c>
      <c r="AI16" t="str">
        <f t="shared" si="0"/>
        <v>Okadaic acid (ug OA eq/kg)</v>
      </c>
    </row>
    <row r="17" spans="1:35" x14ac:dyDescent="0.35">
      <c r="A17" s="4" t="s">
        <v>19</v>
      </c>
      <c r="B17" s="11" t="s">
        <v>343</v>
      </c>
      <c r="C17" s="11" t="s">
        <v>344</v>
      </c>
      <c r="D17" s="11" t="s">
        <v>345</v>
      </c>
      <c r="E17" s="11"/>
      <c r="F17" s="11"/>
      <c r="G17" s="11"/>
      <c r="H17" s="11"/>
      <c r="I17" s="11"/>
      <c r="J17" s="4" t="s">
        <v>371</v>
      </c>
      <c r="K17" s="4" t="s">
        <v>372</v>
      </c>
      <c r="L17" s="4" t="s">
        <v>173</v>
      </c>
      <c r="M17" s="4" t="s">
        <v>178</v>
      </c>
      <c r="N17" s="4" t="s">
        <v>53</v>
      </c>
      <c r="O17" s="4" t="s">
        <v>110</v>
      </c>
      <c r="P17" s="21" t="s">
        <v>379</v>
      </c>
      <c r="Q17" s="4" t="s">
        <v>110</v>
      </c>
      <c r="R17" s="4" t="s">
        <v>110</v>
      </c>
      <c r="S17" s="4" t="s">
        <v>109</v>
      </c>
      <c r="U17" s="4" t="s">
        <v>111</v>
      </c>
      <c r="V17" s="4">
        <v>30</v>
      </c>
      <c r="W17" s="4"/>
      <c r="X17" s="4"/>
      <c r="Y17" s="4" t="s">
        <v>111</v>
      </c>
      <c r="Z17" s="4" t="s">
        <v>115</v>
      </c>
      <c r="AA17" s="4" t="s">
        <v>114</v>
      </c>
      <c r="AB17" s="19" t="s">
        <v>150</v>
      </c>
      <c r="AC17" s="5">
        <v>45691</v>
      </c>
      <c r="AD17" s="5" t="s">
        <v>399</v>
      </c>
      <c r="AE17" s="12" t="s">
        <v>111</v>
      </c>
      <c r="AF17" s="12" t="s">
        <v>115</v>
      </c>
      <c r="AG17" s="4" t="s">
        <v>182</v>
      </c>
      <c r="AH17" s="4" t="s">
        <v>333</v>
      </c>
      <c r="AI17" t="str">
        <f t="shared" si="0"/>
        <v>PTX1 (ug PTX eq/kg)</v>
      </c>
    </row>
    <row r="18" spans="1:35" ht="14.5" customHeight="1" x14ac:dyDescent="0.35">
      <c r="A18" s="4" t="s">
        <v>20</v>
      </c>
      <c r="B18" s="11" t="s">
        <v>343</v>
      </c>
      <c r="C18" s="11" t="s">
        <v>344</v>
      </c>
      <c r="D18" s="11" t="s">
        <v>345</v>
      </c>
      <c r="E18" s="11"/>
      <c r="F18" s="11"/>
      <c r="G18" s="11"/>
      <c r="H18" s="11"/>
      <c r="I18" s="11"/>
      <c r="J18" s="4" t="s">
        <v>371</v>
      </c>
      <c r="K18" s="4" t="s">
        <v>372</v>
      </c>
      <c r="L18" s="4" t="s">
        <v>173</v>
      </c>
      <c r="M18" s="4" t="s">
        <v>178</v>
      </c>
      <c r="N18" s="4" t="s">
        <v>53</v>
      </c>
      <c r="O18" s="4" t="s">
        <v>110</v>
      </c>
      <c r="P18" s="21" t="s">
        <v>380</v>
      </c>
      <c r="Q18" s="4" t="s">
        <v>110</v>
      </c>
      <c r="R18" s="4" t="s">
        <v>110</v>
      </c>
      <c r="S18" s="4" t="s">
        <v>109</v>
      </c>
      <c r="U18" s="4" t="s">
        <v>113</v>
      </c>
      <c r="V18" s="4">
        <v>30</v>
      </c>
      <c r="W18" s="4"/>
      <c r="X18" s="4"/>
      <c r="Y18" s="4" t="s">
        <v>113</v>
      </c>
      <c r="Z18" s="4" t="s">
        <v>116</v>
      </c>
      <c r="AA18" s="4" t="s">
        <v>114</v>
      </c>
      <c r="AB18" s="19" t="s">
        <v>151</v>
      </c>
      <c r="AC18" s="5">
        <v>45691</v>
      </c>
      <c r="AD18" s="5" t="s">
        <v>413</v>
      </c>
      <c r="AE18" s="12" t="s">
        <v>113</v>
      </c>
      <c r="AF18" s="12" t="s">
        <v>116</v>
      </c>
      <c r="AG18" s="4" t="s">
        <v>182</v>
      </c>
      <c r="AH18" s="4" t="s">
        <v>333</v>
      </c>
      <c r="AI18" t="str">
        <f t="shared" si="0"/>
        <v>PTX2 (ug PTX eq/kg)</v>
      </c>
    </row>
    <row r="19" spans="1:35" x14ac:dyDescent="0.35">
      <c r="A19" s="4" t="s">
        <v>21</v>
      </c>
      <c r="B19" s="11" t="s">
        <v>343</v>
      </c>
      <c r="C19" s="11" t="s">
        <v>344</v>
      </c>
      <c r="D19" s="11" t="s">
        <v>345</v>
      </c>
      <c r="E19" s="11"/>
      <c r="F19" s="11"/>
      <c r="G19" s="11"/>
      <c r="H19" s="11"/>
      <c r="I19" s="11"/>
      <c r="J19" s="4" t="s">
        <v>371</v>
      </c>
      <c r="K19" s="4" t="s">
        <v>372</v>
      </c>
      <c r="L19" s="4" t="s">
        <v>173</v>
      </c>
      <c r="M19" s="4" t="s">
        <v>178</v>
      </c>
      <c r="N19" s="4" t="s">
        <v>53</v>
      </c>
      <c r="O19" s="4" t="s">
        <v>110</v>
      </c>
      <c r="P19" s="4"/>
      <c r="Q19" s="4" t="s">
        <v>110</v>
      </c>
      <c r="R19" s="4" t="s">
        <v>110</v>
      </c>
      <c r="S19" s="4" t="s">
        <v>109</v>
      </c>
      <c r="U19" s="4" t="s">
        <v>112</v>
      </c>
      <c r="V19" s="4">
        <v>30</v>
      </c>
      <c r="W19" s="4"/>
      <c r="X19" s="4"/>
      <c r="Y19" s="4"/>
      <c r="Z19" s="4"/>
      <c r="AA19" s="4" t="s">
        <v>114</v>
      </c>
      <c r="AB19" s="4"/>
      <c r="AC19" s="5">
        <v>45691</v>
      </c>
      <c r="AD19" s="5"/>
      <c r="AE19" s="12" t="s">
        <v>203</v>
      </c>
      <c r="AF19" s="12" t="s">
        <v>217</v>
      </c>
      <c r="AG19" s="4" t="s">
        <v>182</v>
      </c>
      <c r="AH19" s="4" t="s">
        <v>333</v>
      </c>
      <c r="AI19" t="str">
        <f t="shared" si="0"/>
        <v>PTX_tot (ug PTX eq/kg)</v>
      </c>
    </row>
    <row r="20" spans="1:35" x14ac:dyDescent="0.35">
      <c r="A20" s="4" t="s">
        <v>156</v>
      </c>
      <c r="B20" s="11"/>
      <c r="C20" s="11"/>
      <c r="D20" s="11"/>
      <c r="E20" s="11"/>
      <c r="F20" s="11"/>
      <c r="G20" s="11"/>
      <c r="H20" s="11"/>
      <c r="I20" s="11"/>
      <c r="J20" s="4" t="s">
        <v>371</v>
      </c>
      <c r="K20" s="4" t="s">
        <v>372</v>
      </c>
      <c r="L20" s="4" t="s">
        <v>175</v>
      </c>
      <c r="M20" s="4" t="s">
        <v>177</v>
      </c>
      <c r="N20" s="4" t="s">
        <v>52</v>
      </c>
      <c r="O20" s="4" t="s">
        <v>117</v>
      </c>
      <c r="P20" s="4"/>
      <c r="Q20" s="4" t="s">
        <v>117</v>
      </c>
      <c r="R20" s="4" t="s">
        <v>117</v>
      </c>
      <c r="S20" s="4" t="s">
        <v>118</v>
      </c>
      <c r="U20" s="6" t="s">
        <v>119</v>
      </c>
      <c r="V20" s="4"/>
      <c r="W20" s="4"/>
      <c r="X20" s="4"/>
      <c r="Y20" s="4"/>
      <c r="Z20" s="4"/>
      <c r="AA20" s="4" t="s">
        <v>51</v>
      </c>
      <c r="AB20" s="4"/>
      <c r="AC20" s="5"/>
      <c r="AD20" s="5"/>
      <c r="AE20" s="12" t="s">
        <v>277</v>
      </c>
      <c r="AF20" s="12" t="s">
        <v>279</v>
      </c>
      <c r="AG20" s="4" t="s">
        <v>206</v>
      </c>
      <c r="AH20" s="4" t="s">
        <v>206</v>
      </c>
      <c r="AI20" t="str">
        <f t="shared" si="0"/>
        <v>C1_2 (true or false)</v>
      </c>
    </row>
    <row r="21" spans="1:35" x14ac:dyDescent="0.35">
      <c r="A21" s="4" t="s">
        <v>26</v>
      </c>
      <c r="B21" s="11" t="s">
        <v>346</v>
      </c>
      <c r="C21" s="11" t="s">
        <v>347</v>
      </c>
      <c r="D21" s="11" t="s">
        <v>345</v>
      </c>
      <c r="E21" s="11"/>
      <c r="F21" s="11"/>
      <c r="G21" s="11"/>
      <c r="H21" s="11"/>
      <c r="I21" s="11"/>
      <c r="J21" s="4" t="s">
        <v>371</v>
      </c>
      <c r="K21" s="4" t="s">
        <v>372</v>
      </c>
      <c r="L21" s="4" t="s">
        <v>175</v>
      </c>
      <c r="M21" s="4" t="s">
        <v>178</v>
      </c>
      <c r="N21" s="4" t="s">
        <v>52</v>
      </c>
      <c r="O21" s="4" t="s">
        <v>117</v>
      </c>
      <c r="P21" s="21"/>
      <c r="Q21" s="4" t="s">
        <v>117</v>
      </c>
      <c r="R21" s="4" t="s">
        <v>117</v>
      </c>
      <c r="S21" s="4" t="s">
        <v>118</v>
      </c>
      <c r="U21" s="4" t="s">
        <v>145</v>
      </c>
      <c r="V21" s="4">
        <v>40</v>
      </c>
      <c r="W21" s="4"/>
      <c r="X21" s="4"/>
      <c r="Y21" s="4" t="s">
        <v>145</v>
      </c>
      <c r="Z21" s="4" t="s">
        <v>147</v>
      </c>
      <c r="AA21" s="4" t="s">
        <v>127</v>
      </c>
      <c r="AB21" s="19" t="s">
        <v>122</v>
      </c>
      <c r="AC21" s="5">
        <v>45691</v>
      </c>
      <c r="AD21" s="5"/>
      <c r="AE21" s="12" t="s">
        <v>326</v>
      </c>
      <c r="AF21" s="12" t="s">
        <v>207</v>
      </c>
      <c r="AG21" s="4" t="s">
        <v>180</v>
      </c>
      <c r="AH21" s="4" t="s">
        <v>331</v>
      </c>
      <c r="AI21" t="str">
        <f t="shared" si="0"/>
        <v>STX_C1_C2 (ug STXdiHCL eq/kg)</v>
      </c>
    </row>
    <row r="22" spans="1:35" s="14" customFormat="1" x14ac:dyDescent="0.35">
      <c r="A22" s="12" t="s">
        <v>168</v>
      </c>
      <c r="B22" s="13"/>
      <c r="C22" s="13"/>
      <c r="D22" s="13"/>
      <c r="E22" s="13"/>
      <c r="F22" s="13"/>
      <c r="G22" s="13"/>
      <c r="H22" s="13"/>
      <c r="I22" s="13"/>
      <c r="J22" s="4" t="s">
        <v>371</v>
      </c>
      <c r="K22" s="4" t="s">
        <v>372</v>
      </c>
      <c r="L22" s="12" t="s">
        <v>175</v>
      </c>
      <c r="M22" s="12" t="s">
        <v>177</v>
      </c>
      <c r="N22" s="12"/>
      <c r="O22" s="12"/>
      <c r="P22" s="12"/>
      <c r="Q22" s="12" t="s">
        <v>117</v>
      </c>
      <c r="R22" s="12" t="s">
        <v>117</v>
      </c>
      <c r="S22" s="12"/>
      <c r="U22" s="12"/>
      <c r="V22" s="12"/>
      <c r="W22" s="12"/>
      <c r="X22" s="12"/>
      <c r="Y22" s="12"/>
      <c r="Z22" s="12"/>
      <c r="AA22" s="12"/>
      <c r="AB22"/>
      <c r="AC22" s="5"/>
      <c r="AD22" s="5"/>
      <c r="AE22" s="12" t="s">
        <v>278</v>
      </c>
      <c r="AF22" s="12" t="s">
        <v>352</v>
      </c>
      <c r="AG22" s="12" t="s">
        <v>206</v>
      </c>
      <c r="AH22" s="12" t="s">
        <v>206</v>
      </c>
      <c r="AI22" s="14" t="str">
        <f t="shared" si="0"/>
        <v>C3_4 (true or false)</v>
      </c>
    </row>
    <row r="23" spans="1:35" x14ac:dyDescent="0.35">
      <c r="A23" s="4" t="s">
        <v>27</v>
      </c>
      <c r="B23" s="11" t="s">
        <v>346</v>
      </c>
      <c r="C23" s="11" t="s">
        <v>347</v>
      </c>
      <c r="D23" s="11" t="s">
        <v>345</v>
      </c>
      <c r="E23" s="11"/>
      <c r="F23" s="11"/>
      <c r="G23" s="11"/>
      <c r="H23" s="11"/>
      <c r="I23" s="11"/>
      <c r="J23" s="4" t="s">
        <v>371</v>
      </c>
      <c r="K23" s="4" t="s">
        <v>372</v>
      </c>
      <c r="L23" s="4" t="s">
        <v>175</v>
      </c>
      <c r="M23" s="4" t="s">
        <v>178</v>
      </c>
      <c r="N23" s="4" t="s">
        <v>52</v>
      </c>
      <c r="O23" s="4" t="s">
        <v>117</v>
      </c>
      <c r="P23" s="4"/>
      <c r="Q23" s="4" t="s">
        <v>117</v>
      </c>
      <c r="R23" s="4" t="s">
        <v>117</v>
      </c>
      <c r="S23" s="4" t="s">
        <v>118</v>
      </c>
      <c r="U23" s="4" t="s">
        <v>146</v>
      </c>
      <c r="V23" s="4"/>
      <c r="W23" s="4"/>
      <c r="X23" s="4"/>
      <c r="Y23" s="4" t="s">
        <v>146</v>
      </c>
      <c r="Z23" s="4" t="s">
        <v>148</v>
      </c>
      <c r="AA23" s="4" t="s">
        <v>127</v>
      </c>
      <c r="AB23" t="s">
        <v>122</v>
      </c>
      <c r="AC23" s="5">
        <v>45691</v>
      </c>
      <c r="AD23" s="5"/>
      <c r="AE23" s="12" t="s">
        <v>325</v>
      </c>
      <c r="AF23" s="12" t="s">
        <v>208</v>
      </c>
      <c r="AG23" s="4" t="s">
        <v>180</v>
      </c>
      <c r="AH23" s="4" t="s">
        <v>331</v>
      </c>
      <c r="AI23" t="str">
        <f t="shared" si="0"/>
        <v>STX_C3_C4 (ug STXdiHCL eq/kg)</v>
      </c>
    </row>
    <row r="24" spans="1:35" x14ac:dyDescent="0.35">
      <c r="A24" s="7" t="s">
        <v>163</v>
      </c>
      <c r="B24" s="11"/>
      <c r="C24" s="11"/>
      <c r="D24" s="11"/>
      <c r="E24" s="11"/>
      <c r="F24" s="11"/>
      <c r="G24" s="11"/>
      <c r="H24" s="11"/>
      <c r="I24" s="11"/>
      <c r="J24" s="4" t="s">
        <v>371</v>
      </c>
      <c r="K24" s="4" t="s">
        <v>372</v>
      </c>
      <c r="L24" s="4" t="s">
        <v>175</v>
      </c>
      <c r="M24" s="4" t="s">
        <v>177</v>
      </c>
      <c r="P24" s="20"/>
      <c r="Q24" s="4" t="s">
        <v>117</v>
      </c>
      <c r="R24" s="4" t="s">
        <v>117</v>
      </c>
      <c r="U24" s="4" t="s">
        <v>164</v>
      </c>
      <c r="AA24" s="4" t="s">
        <v>51</v>
      </c>
      <c r="AE24" s="12" t="s">
        <v>193</v>
      </c>
      <c r="AF24" s="12" t="s">
        <v>284</v>
      </c>
      <c r="AG24" s="4" t="s">
        <v>206</v>
      </c>
      <c r="AH24" s="4" t="s">
        <v>206</v>
      </c>
      <c r="AI24" t="str">
        <f t="shared" si="0"/>
        <v>dcGTX2_3_screen_pos (true or false)</v>
      </c>
    </row>
    <row r="25" spans="1:35" x14ac:dyDescent="0.35">
      <c r="A25" s="4" t="s">
        <v>28</v>
      </c>
      <c r="B25" s="11" t="s">
        <v>346</v>
      </c>
      <c r="C25" s="11" t="s">
        <v>347</v>
      </c>
      <c r="D25" s="11" t="s">
        <v>345</v>
      </c>
      <c r="E25" s="11"/>
      <c r="F25" s="11"/>
      <c r="G25" s="11"/>
      <c r="H25" s="11"/>
      <c r="I25" s="11"/>
      <c r="J25" s="4" t="s">
        <v>371</v>
      </c>
      <c r="K25" s="4" t="s">
        <v>372</v>
      </c>
      <c r="L25" s="4" t="s">
        <v>175</v>
      </c>
      <c r="M25" s="4" t="s">
        <v>178</v>
      </c>
      <c r="N25" s="4" t="s">
        <v>52</v>
      </c>
      <c r="O25" s="4" t="s">
        <v>117</v>
      </c>
      <c r="P25" s="22"/>
      <c r="Q25" s="4" t="s">
        <v>117</v>
      </c>
      <c r="R25" s="4" t="s">
        <v>117</v>
      </c>
      <c r="S25" s="4" t="s">
        <v>118</v>
      </c>
      <c r="U25" s="4" t="s">
        <v>134</v>
      </c>
      <c r="V25" s="4">
        <v>125</v>
      </c>
      <c r="W25" s="4"/>
      <c r="X25" s="4"/>
      <c r="Y25" s="4" t="s">
        <v>134</v>
      </c>
      <c r="Z25" s="4" t="s">
        <v>133</v>
      </c>
      <c r="AA25" s="4" t="s">
        <v>127</v>
      </c>
      <c r="AB25" s="19" t="s">
        <v>382</v>
      </c>
      <c r="AC25" s="5">
        <v>45691</v>
      </c>
      <c r="AD25" s="5"/>
      <c r="AE25" s="12" t="s">
        <v>188</v>
      </c>
      <c r="AF25" s="12" t="s">
        <v>209</v>
      </c>
      <c r="AG25" s="4" t="s">
        <v>180</v>
      </c>
      <c r="AH25" s="4" t="s">
        <v>331</v>
      </c>
      <c r="AI25" t="str">
        <f t="shared" si="0"/>
        <v>dcGTX2_dcGTX3 (ug STXdiHCL eq/kg)</v>
      </c>
    </row>
    <row r="26" spans="1:35" x14ac:dyDescent="0.35">
      <c r="A26" s="7" t="s">
        <v>165</v>
      </c>
      <c r="B26" s="11"/>
      <c r="C26" s="11"/>
      <c r="D26" s="11"/>
      <c r="E26" s="11"/>
      <c r="F26" s="11"/>
      <c r="G26" s="11"/>
      <c r="H26" s="11"/>
      <c r="I26" s="11"/>
      <c r="J26" s="4" t="s">
        <v>371</v>
      </c>
      <c r="K26" s="4" t="s">
        <v>372</v>
      </c>
      <c r="L26" s="4" t="s">
        <v>175</v>
      </c>
      <c r="M26" s="4" t="s">
        <v>177</v>
      </c>
      <c r="P26" s="20"/>
      <c r="Q26" s="4" t="s">
        <v>117</v>
      </c>
      <c r="R26" s="4" t="s">
        <v>117</v>
      </c>
      <c r="U26" s="4" t="s">
        <v>166</v>
      </c>
      <c r="AA26" s="4" t="s">
        <v>51</v>
      </c>
      <c r="AE26" s="12" t="s">
        <v>194</v>
      </c>
      <c r="AF26" s="12" t="s">
        <v>281</v>
      </c>
      <c r="AG26" s="4" t="s">
        <v>206</v>
      </c>
      <c r="AH26" s="4" t="s">
        <v>206</v>
      </c>
      <c r="AI26" t="str">
        <f t="shared" si="0"/>
        <v>dcNEO_screen_pos (true or false)</v>
      </c>
    </row>
    <row r="27" spans="1:35" x14ac:dyDescent="0.35">
      <c r="A27" s="4" t="s">
        <v>29</v>
      </c>
      <c r="B27" s="11" t="s">
        <v>346</v>
      </c>
      <c r="C27" s="11" t="s">
        <v>347</v>
      </c>
      <c r="D27" s="11" t="s">
        <v>345</v>
      </c>
      <c r="E27" s="11"/>
      <c r="F27" s="11"/>
      <c r="G27" s="11"/>
      <c r="H27" s="11"/>
      <c r="I27" s="11"/>
      <c r="J27" s="4" t="s">
        <v>371</v>
      </c>
      <c r="K27" s="4" t="s">
        <v>372</v>
      </c>
      <c r="L27" s="4" t="s">
        <v>175</v>
      </c>
      <c r="M27" s="4" t="s">
        <v>178</v>
      </c>
      <c r="N27" s="4" t="s">
        <v>52</v>
      </c>
      <c r="O27" s="4" t="s">
        <v>117</v>
      </c>
      <c r="P27" s="21" t="s">
        <v>383</v>
      </c>
      <c r="Q27" s="4" t="s">
        <v>117</v>
      </c>
      <c r="R27" s="4" t="s">
        <v>117</v>
      </c>
      <c r="S27" s="4" t="s">
        <v>118</v>
      </c>
      <c r="U27" s="4" t="s">
        <v>142</v>
      </c>
      <c r="V27" s="4">
        <v>160</v>
      </c>
      <c r="W27" s="4"/>
      <c r="X27" s="4"/>
      <c r="Y27" s="4" t="s">
        <v>142</v>
      </c>
      <c r="Z27" s="4" t="s">
        <v>143</v>
      </c>
      <c r="AA27" s="4" t="s">
        <v>127</v>
      </c>
      <c r="AB27" s="19" t="s">
        <v>144</v>
      </c>
      <c r="AC27" s="5">
        <v>45691</v>
      </c>
      <c r="AD27" s="5"/>
      <c r="AE27" s="12" t="s">
        <v>142</v>
      </c>
      <c r="AF27" s="12" t="s">
        <v>143</v>
      </c>
      <c r="AG27" s="4" t="s">
        <v>180</v>
      </c>
      <c r="AH27" s="4" t="s">
        <v>331</v>
      </c>
      <c r="AI27" t="str">
        <f t="shared" si="0"/>
        <v>dcNeoSTX (ug STXdiHCL eq/kg)</v>
      </c>
    </row>
    <row r="28" spans="1:35" s="14" customFormat="1" x14ac:dyDescent="0.35">
      <c r="A28" s="12" t="s">
        <v>30</v>
      </c>
      <c r="B28" s="13"/>
      <c r="C28" s="13"/>
      <c r="D28" s="13"/>
      <c r="E28" s="13"/>
      <c r="F28" s="13"/>
      <c r="G28" s="13"/>
      <c r="H28" s="13"/>
      <c r="I28" s="13"/>
      <c r="J28" s="4" t="s">
        <v>371</v>
      </c>
      <c r="K28" s="4" t="s">
        <v>372</v>
      </c>
      <c r="L28" s="12" t="s">
        <v>175</v>
      </c>
      <c r="M28" s="12" t="s">
        <v>177</v>
      </c>
      <c r="N28" s="12"/>
      <c r="O28" s="12"/>
      <c r="P28" s="12"/>
      <c r="Q28" s="12" t="s">
        <v>117</v>
      </c>
      <c r="R28" s="12" t="s">
        <v>117</v>
      </c>
      <c r="S28" s="12"/>
      <c r="U28" s="12" t="s">
        <v>160</v>
      </c>
      <c r="V28" s="12"/>
      <c r="W28" s="12"/>
      <c r="X28" s="12"/>
      <c r="AA28" s="12" t="s">
        <v>51</v>
      </c>
      <c r="AB28"/>
      <c r="AC28"/>
      <c r="AD28"/>
      <c r="AE28" s="12" t="s">
        <v>195</v>
      </c>
      <c r="AF28" s="12" t="s">
        <v>353</v>
      </c>
      <c r="AG28" s="12" t="s">
        <v>206</v>
      </c>
      <c r="AH28" s="12" t="s">
        <v>206</v>
      </c>
      <c r="AI28" s="14" t="str">
        <f t="shared" si="0"/>
        <v>dcSTX_screen_pos (true or false)</v>
      </c>
    </row>
    <row r="29" spans="1:35" x14ac:dyDescent="0.35">
      <c r="A29" s="4" t="s">
        <v>31</v>
      </c>
      <c r="B29" s="11" t="s">
        <v>346</v>
      </c>
      <c r="C29" s="11" t="s">
        <v>347</v>
      </c>
      <c r="D29" s="11" t="s">
        <v>345</v>
      </c>
      <c r="E29" s="11"/>
      <c r="F29" s="11"/>
      <c r="G29" s="11"/>
      <c r="H29" s="11"/>
      <c r="I29" s="11"/>
      <c r="J29" s="4" t="s">
        <v>371</v>
      </c>
      <c r="K29" s="4" t="s">
        <v>372</v>
      </c>
      <c r="L29" s="4" t="s">
        <v>175</v>
      </c>
      <c r="M29" s="4" t="s">
        <v>178</v>
      </c>
      <c r="N29" s="4" t="s">
        <v>52</v>
      </c>
      <c r="O29" s="4" t="s">
        <v>117</v>
      </c>
      <c r="P29" s="21" t="s">
        <v>384</v>
      </c>
      <c r="Q29" s="4" t="s">
        <v>117</v>
      </c>
      <c r="R29" s="4" t="s">
        <v>117</v>
      </c>
      <c r="S29" s="4" t="s">
        <v>118</v>
      </c>
      <c r="U29" s="4" t="s">
        <v>30</v>
      </c>
      <c r="V29" s="4">
        <v>41</v>
      </c>
      <c r="W29" s="4"/>
      <c r="X29" s="4"/>
      <c r="Y29" s="4" t="s">
        <v>30</v>
      </c>
      <c r="Z29" s="4" t="s">
        <v>136</v>
      </c>
      <c r="AA29" s="4" t="s">
        <v>127</v>
      </c>
      <c r="AB29" s="19" t="s">
        <v>137</v>
      </c>
      <c r="AC29" s="5">
        <v>45691</v>
      </c>
      <c r="AD29" s="5"/>
      <c r="AE29" s="12" t="s">
        <v>30</v>
      </c>
      <c r="AF29" s="12" t="s">
        <v>136</v>
      </c>
      <c r="AG29" s="4" t="s">
        <v>180</v>
      </c>
      <c r="AH29" s="4" t="s">
        <v>331</v>
      </c>
      <c r="AI29" t="str">
        <f t="shared" si="0"/>
        <v>dcSTX (ug STXdiHCL eq/kg)</v>
      </c>
    </row>
    <row r="30" spans="1:35" x14ac:dyDescent="0.35">
      <c r="A30" s="7" t="s">
        <v>33</v>
      </c>
      <c r="B30" s="11"/>
      <c r="C30" s="11"/>
      <c r="D30" s="11"/>
      <c r="E30" s="11"/>
      <c r="F30" s="11"/>
      <c r="G30" s="11"/>
      <c r="H30" s="11"/>
      <c r="I30" s="11"/>
      <c r="J30" s="4" t="s">
        <v>371</v>
      </c>
      <c r="K30" s="4" t="s">
        <v>372</v>
      </c>
      <c r="L30" s="4" t="s">
        <v>175</v>
      </c>
      <c r="M30" s="4" t="s">
        <v>177</v>
      </c>
      <c r="N30" s="4"/>
      <c r="O30" s="4"/>
      <c r="P30" s="4"/>
      <c r="Q30" s="4" t="s">
        <v>117</v>
      </c>
      <c r="R30" s="4" t="s">
        <v>117</v>
      </c>
      <c r="S30" s="4"/>
      <c r="U30" s="4" t="s">
        <v>162</v>
      </c>
      <c r="V30" s="4"/>
      <c r="W30" s="4"/>
      <c r="X30" s="4"/>
      <c r="Y30" s="4"/>
      <c r="Z30" s="4"/>
      <c r="AA30" s="4" t="s">
        <v>51</v>
      </c>
      <c r="AB30" s="4"/>
      <c r="AC30" s="5"/>
      <c r="AD30" s="5"/>
      <c r="AE30" s="12" t="s">
        <v>198</v>
      </c>
      <c r="AF30" s="12" t="s">
        <v>282</v>
      </c>
      <c r="AG30" s="4" t="s">
        <v>206</v>
      </c>
      <c r="AH30" s="4" t="s">
        <v>206</v>
      </c>
      <c r="AI30" t="str">
        <f t="shared" si="0"/>
        <v>GTX1_4_screen_pos (true or false)</v>
      </c>
    </row>
    <row r="31" spans="1:35" x14ac:dyDescent="0.35">
      <c r="A31" s="4" t="s">
        <v>32</v>
      </c>
      <c r="B31" s="11" t="s">
        <v>346</v>
      </c>
      <c r="C31" s="11" t="s">
        <v>347</v>
      </c>
      <c r="D31" s="11" t="s">
        <v>345</v>
      </c>
      <c r="E31" s="11"/>
      <c r="F31" s="11"/>
      <c r="G31" s="11"/>
      <c r="H31" s="11"/>
      <c r="I31" s="11"/>
      <c r="J31" s="4" t="s">
        <v>371</v>
      </c>
      <c r="K31" s="4" t="s">
        <v>372</v>
      </c>
      <c r="L31" s="4" t="s">
        <v>175</v>
      </c>
      <c r="M31" s="4" t="s">
        <v>178</v>
      </c>
      <c r="N31" s="4" t="s">
        <v>52</v>
      </c>
      <c r="O31" s="4" t="s">
        <v>117</v>
      </c>
      <c r="P31" s="4"/>
      <c r="Q31" s="4" t="s">
        <v>117</v>
      </c>
      <c r="R31" s="4" t="s">
        <v>117</v>
      </c>
      <c r="S31" s="4" t="s">
        <v>118</v>
      </c>
      <c r="U31" s="4" t="s">
        <v>33</v>
      </c>
      <c r="V31" s="4">
        <v>330</v>
      </c>
      <c r="W31" s="4"/>
      <c r="X31" s="4"/>
      <c r="Y31" s="4" t="s">
        <v>130</v>
      </c>
      <c r="Z31" s="4" t="s">
        <v>128</v>
      </c>
      <c r="AA31" s="4" t="s">
        <v>127</v>
      </c>
      <c r="AB31" s="4" t="s">
        <v>129</v>
      </c>
      <c r="AC31" s="5">
        <v>45691</v>
      </c>
      <c r="AD31" s="5"/>
      <c r="AE31" s="12" t="s">
        <v>189</v>
      </c>
      <c r="AF31" s="12" t="s">
        <v>210</v>
      </c>
      <c r="AG31" s="4" t="s">
        <v>180</v>
      </c>
      <c r="AH31" s="4" t="s">
        <v>331</v>
      </c>
      <c r="AI31" t="str">
        <f t="shared" si="0"/>
        <v>GTX1_GTX4 (ug STXdiHCL eq/kg)</v>
      </c>
    </row>
    <row r="32" spans="1:35" x14ac:dyDescent="0.35">
      <c r="A32" s="7" t="s">
        <v>34</v>
      </c>
      <c r="B32" s="11"/>
      <c r="C32" s="11"/>
      <c r="D32" s="11"/>
      <c r="E32" s="11"/>
      <c r="F32" s="11"/>
      <c r="G32" s="11"/>
      <c r="H32" s="11"/>
      <c r="I32" s="11"/>
      <c r="J32" s="4" t="s">
        <v>371</v>
      </c>
      <c r="K32" s="4" t="s">
        <v>372</v>
      </c>
      <c r="L32" s="4" t="s">
        <v>175</v>
      </c>
      <c r="M32" s="4" t="s">
        <v>177</v>
      </c>
      <c r="N32" s="4"/>
      <c r="O32" s="4"/>
      <c r="P32" s="4"/>
      <c r="Q32" s="4" t="s">
        <v>117</v>
      </c>
      <c r="R32" s="4" t="s">
        <v>117</v>
      </c>
      <c r="S32" s="4"/>
      <c r="U32" s="4" t="s">
        <v>157</v>
      </c>
      <c r="V32" s="4"/>
      <c r="W32" s="4"/>
      <c r="X32" s="4"/>
      <c r="AA32" s="4" t="s">
        <v>51</v>
      </c>
      <c r="AE32" s="12" t="s">
        <v>199</v>
      </c>
      <c r="AF32" s="12" t="s">
        <v>283</v>
      </c>
      <c r="AG32" s="4" t="s">
        <v>206</v>
      </c>
      <c r="AH32" s="4" t="s">
        <v>206</v>
      </c>
      <c r="AI32" t="str">
        <f t="shared" si="0"/>
        <v>GTX2_3_screen_pos (true or false)</v>
      </c>
    </row>
    <row r="33" spans="1:35" x14ac:dyDescent="0.35">
      <c r="A33" s="4" t="s">
        <v>35</v>
      </c>
      <c r="B33" s="11" t="s">
        <v>346</v>
      </c>
      <c r="C33" s="11" t="s">
        <v>347</v>
      </c>
      <c r="D33" s="11" t="s">
        <v>345</v>
      </c>
      <c r="E33" s="11"/>
      <c r="F33" s="11"/>
      <c r="G33" s="11"/>
      <c r="H33" s="11"/>
      <c r="I33" s="11"/>
      <c r="J33" s="4" t="s">
        <v>371</v>
      </c>
      <c r="K33" s="4" t="s">
        <v>372</v>
      </c>
      <c r="L33" s="4" t="s">
        <v>175</v>
      </c>
      <c r="M33" s="4" t="s">
        <v>178</v>
      </c>
      <c r="N33" s="4" t="s">
        <v>52</v>
      </c>
      <c r="O33" s="4" t="s">
        <v>117</v>
      </c>
      <c r="P33" s="4"/>
      <c r="Q33" s="4" t="s">
        <v>117</v>
      </c>
      <c r="R33" s="4" t="s">
        <v>117</v>
      </c>
      <c r="S33" s="4" t="s">
        <v>118</v>
      </c>
      <c r="U33" s="4" t="s">
        <v>34</v>
      </c>
      <c r="V33" s="4">
        <v>80</v>
      </c>
      <c r="W33" s="4"/>
      <c r="X33" s="4"/>
      <c r="Y33" s="4" t="s">
        <v>131</v>
      </c>
      <c r="Z33" s="4" t="s">
        <v>128</v>
      </c>
      <c r="AA33" s="4" t="s">
        <v>127</v>
      </c>
      <c r="AB33" s="4" t="s">
        <v>132</v>
      </c>
      <c r="AC33" s="5">
        <v>45691</v>
      </c>
      <c r="AD33" s="5"/>
      <c r="AE33" s="12" t="s">
        <v>190</v>
      </c>
      <c r="AF33" s="12" t="s">
        <v>394</v>
      </c>
      <c r="AG33" s="4" t="s">
        <v>180</v>
      </c>
      <c r="AH33" s="4" t="s">
        <v>331</v>
      </c>
      <c r="AI33" t="str">
        <f t="shared" si="0"/>
        <v>GTX2_GTX3 (ug STXdiHCL eq/kg)</v>
      </c>
    </row>
    <row r="34" spans="1:35" x14ac:dyDescent="0.35">
      <c r="A34" s="7" t="s">
        <v>36</v>
      </c>
      <c r="B34" s="11"/>
      <c r="C34" s="11"/>
      <c r="D34" s="11"/>
      <c r="E34" s="11"/>
      <c r="F34" s="11"/>
      <c r="G34" s="11"/>
      <c r="H34" s="11"/>
      <c r="I34" s="11"/>
      <c r="J34" s="4" t="s">
        <v>371</v>
      </c>
      <c r="K34" s="4" t="s">
        <v>372</v>
      </c>
      <c r="L34" s="4" t="s">
        <v>175</v>
      </c>
      <c r="M34" s="4" t="s">
        <v>177</v>
      </c>
      <c r="N34" s="4"/>
      <c r="O34" s="4"/>
      <c r="P34" s="4"/>
      <c r="Q34" s="4" t="s">
        <v>117</v>
      </c>
      <c r="R34" s="4" t="s">
        <v>117</v>
      </c>
      <c r="S34" s="4"/>
      <c r="U34" s="4" t="s">
        <v>158</v>
      </c>
      <c r="V34" s="4"/>
      <c r="W34" s="4"/>
      <c r="X34" s="4"/>
      <c r="AA34" s="4" t="s">
        <v>51</v>
      </c>
      <c r="AE34" s="12" t="s">
        <v>200</v>
      </c>
      <c r="AF34" s="12" t="s">
        <v>213</v>
      </c>
      <c r="AG34" s="4" t="s">
        <v>206</v>
      </c>
      <c r="AH34" s="4" t="s">
        <v>206</v>
      </c>
      <c r="AI34" t="str">
        <f t="shared" ref="AI34:AI65" si="1">CONCATENATE(AE34, " (", AG34, ")")</f>
        <v>GTX5_screen_pos (true or false)</v>
      </c>
    </row>
    <row r="35" spans="1:35" x14ac:dyDescent="0.35">
      <c r="A35" s="4" t="s">
        <v>37</v>
      </c>
      <c r="B35" s="11" t="s">
        <v>346</v>
      </c>
      <c r="C35" s="11" t="s">
        <v>347</v>
      </c>
      <c r="D35" s="11" t="s">
        <v>345</v>
      </c>
      <c r="E35" s="11"/>
      <c r="F35" s="11"/>
      <c r="G35" s="11"/>
      <c r="H35" s="11"/>
      <c r="I35" s="11"/>
      <c r="J35" s="4" t="s">
        <v>371</v>
      </c>
      <c r="K35" s="4" t="s">
        <v>372</v>
      </c>
      <c r="L35" s="4" t="s">
        <v>175</v>
      </c>
      <c r="M35" s="4" t="s">
        <v>178</v>
      </c>
      <c r="N35" s="4" t="s">
        <v>52</v>
      </c>
      <c r="O35" s="4" t="s">
        <v>117</v>
      </c>
      <c r="P35" s="21" t="s">
        <v>385</v>
      </c>
      <c r="Q35" s="4" t="s">
        <v>117</v>
      </c>
      <c r="R35" s="4" t="s">
        <v>117</v>
      </c>
      <c r="S35" s="4" t="s">
        <v>118</v>
      </c>
      <c r="U35" s="4" t="s">
        <v>36</v>
      </c>
      <c r="V35" s="4">
        <v>8</v>
      </c>
      <c r="W35" s="4"/>
      <c r="X35" s="4"/>
      <c r="Y35" s="4" t="s">
        <v>36</v>
      </c>
      <c r="Z35" s="4" t="s">
        <v>138</v>
      </c>
      <c r="AA35" s="4" t="s">
        <v>127</v>
      </c>
      <c r="AB35" s="19" t="s">
        <v>140</v>
      </c>
      <c r="AC35" s="5">
        <v>45691</v>
      </c>
      <c r="AD35" s="5"/>
      <c r="AE35" s="12" t="s">
        <v>36</v>
      </c>
      <c r="AF35" s="12" t="s">
        <v>138</v>
      </c>
      <c r="AG35" s="4" t="s">
        <v>180</v>
      </c>
      <c r="AH35" s="4" t="s">
        <v>331</v>
      </c>
      <c r="AI35" t="str">
        <f t="shared" si="1"/>
        <v>GTX5 (ug STXdiHCL eq/kg)</v>
      </c>
    </row>
    <row r="36" spans="1:35" x14ac:dyDescent="0.35">
      <c r="A36" s="7" t="s">
        <v>39</v>
      </c>
      <c r="B36" s="11"/>
      <c r="C36" s="11"/>
      <c r="D36" s="11"/>
      <c r="E36" s="11"/>
      <c r="F36" s="11"/>
      <c r="G36" s="11"/>
      <c r="H36" s="11"/>
      <c r="I36" s="11"/>
      <c r="J36" s="4" t="s">
        <v>371</v>
      </c>
      <c r="K36" s="4" t="s">
        <v>372</v>
      </c>
      <c r="L36" s="4" t="s">
        <v>175</v>
      </c>
      <c r="M36" s="4" t="s">
        <v>177</v>
      </c>
      <c r="N36" s="4"/>
      <c r="O36" s="4"/>
      <c r="P36" s="4"/>
      <c r="Q36" s="4" t="s">
        <v>117</v>
      </c>
      <c r="R36" s="4" t="s">
        <v>117</v>
      </c>
      <c r="S36" s="4"/>
      <c r="U36" s="4" t="s">
        <v>159</v>
      </c>
      <c r="V36" s="4"/>
      <c r="W36" s="4"/>
      <c r="X36" s="4"/>
      <c r="AA36" s="4" t="s">
        <v>51</v>
      </c>
      <c r="AE36" s="12" t="s">
        <v>201</v>
      </c>
      <c r="AF36" s="12" t="s">
        <v>214</v>
      </c>
      <c r="AG36" s="4" t="s">
        <v>206</v>
      </c>
      <c r="AH36" s="4" t="s">
        <v>206</v>
      </c>
      <c r="AI36" t="str">
        <f t="shared" si="1"/>
        <v>GTX6_screen_pos (true or false)</v>
      </c>
    </row>
    <row r="37" spans="1:35" x14ac:dyDescent="0.35">
      <c r="A37" s="4" t="s">
        <v>38</v>
      </c>
      <c r="B37" s="11" t="s">
        <v>346</v>
      </c>
      <c r="C37" s="11" t="s">
        <v>347</v>
      </c>
      <c r="D37" s="11" t="s">
        <v>345</v>
      </c>
      <c r="E37" s="11"/>
      <c r="F37" s="11"/>
      <c r="G37" s="11"/>
      <c r="H37" s="11"/>
      <c r="I37" s="11"/>
      <c r="J37" s="4" t="s">
        <v>371</v>
      </c>
      <c r="K37" s="4" t="s">
        <v>372</v>
      </c>
      <c r="L37" s="4" t="s">
        <v>175</v>
      </c>
      <c r="M37" s="4" t="s">
        <v>178</v>
      </c>
      <c r="N37" s="4" t="s">
        <v>52</v>
      </c>
      <c r="O37" s="4" t="s">
        <v>117</v>
      </c>
      <c r="P37" s="21" t="s">
        <v>386</v>
      </c>
      <c r="Q37" s="4" t="s">
        <v>117</v>
      </c>
      <c r="R37" s="4" t="s">
        <v>117</v>
      </c>
      <c r="S37" s="4" t="s">
        <v>118</v>
      </c>
      <c r="U37" s="4" t="s">
        <v>39</v>
      </c>
      <c r="V37" s="4"/>
      <c r="W37" s="4"/>
      <c r="X37" s="4"/>
      <c r="Y37" s="4" t="s">
        <v>39</v>
      </c>
      <c r="Z37" s="4" t="s">
        <v>139</v>
      </c>
      <c r="AA37" s="4" t="s">
        <v>127</v>
      </c>
      <c r="AB37" s="19" t="s">
        <v>141</v>
      </c>
      <c r="AC37" s="5">
        <v>45691</v>
      </c>
      <c r="AD37" s="5"/>
      <c r="AE37" s="12" t="s">
        <v>39</v>
      </c>
      <c r="AF37" s="12" t="s">
        <v>139</v>
      </c>
      <c r="AG37" s="4" t="s">
        <v>180</v>
      </c>
      <c r="AH37" s="4" t="s">
        <v>331</v>
      </c>
      <c r="AI37" t="str">
        <f t="shared" si="1"/>
        <v>GTX6 (ug STXdiHCL eq/kg)</v>
      </c>
    </row>
    <row r="38" spans="1:35" s="14" customFormat="1" x14ac:dyDescent="0.35">
      <c r="A38" s="12" t="s">
        <v>169</v>
      </c>
      <c r="B38" s="13"/>
      <c r="C38" s="13"/>
      <c r="D38" s="13"/>
      <c r="E38" s="13"/>
      <c r="F38" s="13"/>
      <c r="G38" s="13"/>
      <c r="H38" s="13"/>
      <c r="I38" s="13"/>
      <c r="J38" s="4" t="s">
        <v>371</v>
      </c>
      <c r="K38" s="4" t="s">
        <v>372</v>
      </c>
      <c r="L38" s="12" t="s">
        <v>175</v>
      </c>
      <c r="M38" s="12" t="s">
        <v>177</v>
      </c>
      <c r="N38" s="12"/>
      <c r="O38" s="12"/>
      <c r="P38" s="12"/>
      <c r="Q38" s="12" t="s">
        <v>117</v>
      </c>
      <c r="R38" s="12" t="s">
        <v>117</v>
      </c>
      <c r="S38" s="12"/>
      <c r="U38" s="12"/>
      <c r="V38" s="12"/>
      <c r="W38" s="12"/>
      <c r="X38" s="12"/>
      <c r="Y38" s="12"/>
      <c r="Z38" s="12"/>
      <c r="AA38" s="12"/>
      <c r="AB38" s="4"/>
      <c r="AC38" s="5"/>
      <c r="AD38" s="5"/>
      <c r="AE38" s="12" t="s">
        <v>350</v>
      </c>
      <c r="AF38" s="12" t="s">
        <v>351</v>
      </c>
      <c r="AG38" s="12" t="s">
        <v>206</v>
      </c>
      <c r="AH38" s="12" t="s">
        <v>206</v>
      </c>
      <c r="AI38" s="14" t="str">
        <f t="shared" si="1"/>
        <v>NEO_screen_pos (true or false)</v>
      </c>
    </row>
    <row r="39" spans="1:35" x14ac:dyDescent="0.35">
      <c r="A39" s="4" t="s">
        <v>40</v>
      </c>
      <c r="B39" s="11" t="s">
        <v>346</v>
      </c>
      <c r="C39" s="11" t="s">
        <v>347</v>
      </c>
      <c r="D39" s="11" t="s">
        <v>345</v>
      </c>
      <c r="E39" s="11"/>
      <c r="F39" s="11"/>
      <c r="G39" s="11"/>
      <c r="H39" s="11"/>
      <c r="I39" s="11"/>
      <c r="J39" s="4" t="s">
        <v>371</v>
      </c>
      <c r="K39" s="4" t="s">
        <v>372</v>
      </c>
      <c r="L39" s="4" t="s">
        <v>175</v>
      </c>
      <c r="M39" s="4" t="s">
        <v>178</v>
      </c>
      <c r="N39" s="4" t="s">
        <v>52</v>
      </c>
      <c r="O39" s="4" t="s">
        <v>117</v>
      </c>
      <c r="P39" s="21" t="s">
        <v>387</v>
      </c>
      <c r="Q39" s="4" t="s">
        <v>117</v>
      </c>
      <c r="R39" s="4" t="s">
        <v>117</v>
      </c>
      <c r="S39" s="4" t="s">
        <v>118</v>
      </c>
      <c r="U39" s="4" t="s">
        <v>123</v>
      </c>
      <c r="V39" s="4">
        <v>167</v>
      </c>
      <c r="W39" s="4"/>
      <c r="X39" s="4"/>
      <c r="Y39" s="4" t="s">
        <v>123</v>
      </c>
      <c r="Z39" s="4" t="s">
        <v>124</v>
      </c>
      <c r="AA39" s="4" t="s">
        <v>127</v>
      </c>
      <c r="AB39" s="19" t="s">
        <v>125</v>
      </c>
      <c r="AC39" s="5">
        <v>45691</v>
      </c>
      <c r="AD39" s="5"/>
      <c r="AE39" s="12" t="s">
        <v>123</v>
      </c>
      <c r="AF39" s="12" t="s">
        <v>124</v>
      </c>
      <c r="AG39" s="4" t="s">
        <v>180</v>
      </c>
      <c r="AH39" s="4" t="s">
        <v>331</v>
      </c>
      <c r="AI39" t="str">
        <f t="shared" si="1"/>
        <v>NeoSTX (ug STXdiHCL eq/kg)</v>
      </c>
    </row>
    <row r="40" spans="1:35" s="14" customFormat="1" x14ac:dyDescent="0.35">
      <c r="A40" s="12" t="s">
        <v>170</v>
      </c>
      <c r="B40" s="13"/>
      <c r="C40" s="13"/>
      <c r="D40" s="13"/>
      <c r="E40" s="13"/>
      <c r="F40" s="13"/>
      <c r="G40" s="13"/>
      <c r="H40" s="13"/>
      <c r="I40" s="13"/>
      <c r="J40" s="4" t="s">
        <v>371</v>
      </c>
      <c r="K40" s="4" t="s">
        <v>372</v>
      </c>
      <c r="L40" s="12" t="s">
        <v>175</v>
      </c>
      <c r="M40" s="12" t="s">
        <v>177</v>
      </c>
      <c r="N40" s="12"/>
      <c r="O40" s="12"/>
      <c r="P40" s="12"/>
      <c r="Q40" s="12" t="s">
        <v>117</v>
      </c>
      <c r="R40" s="12" t="s">
        <v>117</v>
      </c>
      <c r="S40" s="12"/>
      <c r="U40" s="12"/>
      <c r="V40" s="12"/>
      <c r="W40" s="12"/>
      <c r="X40" s="12"/>
      <c r="Y40" s="12"/>
      <c r="Z40" s="12"/>
      <c r="AA40" s="12"/>
      <c r="AB40" s="4"/>
      <c r="AC40" s="5"/>
      <c r="AD40" s="5"/>
      <c r="AE40" s="12" t="s">
        <v>355</v>
      </c>
      <c r="AF40" s="12" t="s">
        <v>356</v>
      </c>
      <c r="AG40" s="12" t="s">
        <v>206</v>
      </c>
      <c r="AH40" s="12" t="s">
        <v>206</v>
      </c>
      <c r="AI40" s="14" t="str">
        <f t="shared" si="1"/>
        <v>PST_tot_screen_pos (true or false)</v>
      </c>
    </row>
    <row r="41" spans="1:35" s="14" customFormat="1" x14ac:dyDescent="0.35">
      <c r="A41" s="12" t="s">
        <v>41</v>
      </c>
      <c r="B41" s="13" t="s">
        <v>346</v>
      </c>
      <c r="C41" s="13" t="s">
        <v>347</v>
      </c>
      <c r="D41" s="13" t="s">
        <v>345</v>
      </c>
      <c r="E41" s="13"/>
      <c r="F41" s="13"/>
      <c r="G41" s="13"/>
      <c r="H41" s="13"/>
      <c r="I41" s="13"/>
      <c r="J41" s="4" t="s">
        <v>371</v>
      </c>
      <c r="K41" s="4" t="s">
        <v>372</v>
      </c>
      <c r="L41" s="12" t="s">
        <v>175</v>
      </c>
      <c r="M41" s="12" t="s">
        <v>178</v>
      </c>
      <c r="N41" s="12" t="s">
        <v>52</v>
      </c>
      <c r="O41" s="12" t="s">
        <v>117</v>
      </c>
      <c r="P41" s="12"/>
      <c r="Q41" s="12" t="s">
        <v>117</v>
      </c>
      <c r="R41" s="12" t="s">
        <v>117</v>
      </c>
      <c r="S41" s="15" t="s">
        <v>118</v>
      </c>
      <c r="U41" s="12" t="s">
        <v>121</v>
      </c>
      <c r="V41" s="12">
        <v>380</v>
      </c>
      <c r="W41" s="12">
        <v>800</v>
      </c>
      <c r="X41" s="12"/>
      <c r="Y41" s="12"/>
      <c r="Z41" s="12"/>
      <c r="AA41" s="12" t="s">
        <v>127</v>
      </c>
      <c r="AB41" s="4"/>
      <c r="AC41" s="5"/>
      <c r="AD41" s="5"/>
      <c r="AE41" s="12" t="s">
        <v>202</v>
      </c>
      <c r="AF41" s="12" t="s">
        <v>216</v>
      </c>
      <c r="AG41" s="12" t="s">
        <v>180</v>
      </c>
      <c r="AH41" s="12" t="s">
        <v>331</v>
      </c>
      <c r="AI41" s="14" t="str">
        <f t="shared" si="1"/>
        <v>PST_tot (ug STXdiHCL eq/kg)</v>
      </c>
    </row>
    <row r="42" spans="1:35" x14ac:dyDescent="0.35">
      <c r="A42" s="7" t="s">
        <v>42</v>
      </c>
      <c r="B42" s="11"/>
      <c r="C42" s="11"/>
      <c r="D42" s="11"/>
      <c r="E42" s="11"/>
      <c r="F42" s="11"/>
      <c r="G42" s="11"/>
      <c r="H42" s="11"/>
      <c r="I42" s="11"/>
      <c r="J42" s="4" t="s">
        <v>371</v>
      </c>
      <c r="K42" s="4" t="s">
        <v>372</v>
      </c>
      <c r="L42" s="4" t="s">
        <v>175</v>
      </c>
      <c r="M42" s="4" t="s">
        <v>177</v>
      </c>
      <c r="P42" s="20"/>
      <c r="Q42" s="4" t="s">
        <v>117</v>
      </c>
      <c r="R42" s="4" t="s">
        <v>117</v>
      </c>
      <c r="U42" s="4" t="s">
        <v>161</v>
      </c>
      <c r="AA42" s="4" t="s">
        <v>51</v>
      </c>
      <c r="AE42" s="12" t="s">
        <v>205</v>
      </c>
      <c r="AF42" s="12" t="s">
        <v>219</v>
      </c>
      <c r="AG42" s="4" t="s">
        <v>206</v>
      </c>
      <c r="AH42" s="4" t="s">
        <v>206</v>
      </c>
      <c r="AI42" t="str">
        <f t="shared" si="1"/>
        <v>STX_screen_pos (true or false)</v>
      </c>
    </row>
    <row r="43" spans="1:35" x14ac:dyDescent="0.35">
      <c r="A43" s="4" t="s">
        <v>43</v>
      </c>
      <c r="B43" s="11" t="s">
        <v>346</v>
      </c>
      <c r="C43" s="11" t="s">
        <v>347</v>
      </c>
      <c r="D43" s="11" t="s">
        <v>345</v>
      </c>
      <c r="E43" s="11"/>
      <c r="F43" s="11"/>
      <c r="G43" s="11"/>
      <c r="H43" s="11"/>
      <c r="I43" s="11"/>
      <c r="J43" s="4" t="s">
        <v>371</v>
      </c>
      <c r="K43" s="4" t="s">
        <v>372</v>
      </c>
      <c r="L43" s="4" t="s">
        <v>175</v>
      </c>
      <c r="M43" s="4" t="s">
        <v>178</v>
      </c>
      <c r="N43" s="4" t="s">
        <v>52</v>
      </c>
      <c r="O43" s="4" t="s">
        <v>117</v>
      </c>
      <c r="P43" s="21" t="s">
        <v>381</v>
      </c>
      <c r="Q43" s="4" t="s">
        <v>117</v>
      </c>
      <c r="R43" s="4" t="s">
        <v>117</v>
      </c>
      <c r="S43" s="4" t="s">
        <v>118</v>
      </c>
      <c r="U43" s="4" t="s">
        <v>42</v>
      </c>
      <c r="V43" s="4">
        <v>40</v>
      </c>
      <c r="W43" s="4"/>
      <c r="X43" s="4">
        <v>1</v>
      </c>
      <c r="Y43" s="4" t="s">
        <v>42</v>
      </c>
      <c r="Z43" s="4" t="s">
        <v>117</v>
      </c>
      <c r="AA43" s="4" t="s">
        <v>127</v>
      </c>
      <c r="AB43" s="19" t="s">
        <v>122</v>
      </c>
      <c r="AC43" s="5">
        <v>45691</v>
      </c>
      <c r="AD43" s="5"/>
      <c r="AE43" s="12" t="s">
        <v>42</v>
      </c>
      <c r="AF43" s="12" t="s">
        <v>117</v>
      </c>
      <c r="AG43" s="4" t="s">
        <v>180</v>
      </c>
      <c r="AH43" s="4" t="s">
        <v>331</v>
      </c>
      <c r="AI43" t="str">
        <f t="shared" si="1"/>
        <v>STX (ug STXdiHCL eq/kg)</v>
      </c>
    </row>
    <row r="44" spans="1:35" x14ac:dyDescent="0.35">
      <c r="A44" s="4" t="s">
        <v>22</v>
      </c>
      <c r="B44" s="11" t="s">
        <v>343</v>
      </c>
      <c r="C44" s="11" t="s">
        <v>344</v>
      </c>
      <c r="D44" s="11" t="s">
        <v>345</v>
      </c>
      <c r="E44" s="11"/>
      <c r="F44" s="11"/>
      <c r="G44" s="11"/>
      <c r="H44" s="11"/>
      <c r="I44" s="11"/>
      <c r="J44" s="4" t="s">
        <v>371</v>
      </c>
      <c r="K44" s="4" t="s">
        <v>372</v>
      </c>
      <c r="L44" s="4" t="s">
        <v>173</v>
      </c>
      <c r="M44" s="4" t="s">
        <v>178</v>
      </c>
      <c r="N44" s="4" t="s">
        <v>53</v>
      </c>
      <c r="O44" s="4" t="s">
        <v>153</v>
      </c>
      <c r="P44" s="4"/>
      <c r="Q44" s="4" t="s">
        <v>153</v>
      </c>
      <c r="R44" s="4" t="s">
        <v>153</v>
      </c>
      <c r="S44" s="4" t="s">
        <v>50</v>
      </c>
      <c r="U44" s="4" t="s">
        <v>154</v>
      </c>
      <c r="V44" s="4"/>
      <c r="W44" s="4"/>
      <c r="X44" s="4"/>
      <c r="Y44" s="4"/>
      <c r="Z44" s="4"/>
      <c r="AA44" s="4" t="s">
        <v>56</v>
      </c>
      <c r="AB44" s="4"/>
      <c r="AC44" s="5">
        <v>45691</v>
      </c>
      <c r="AD44" s="5"/>
      <c r="AE44" s="12" t="s">
        <v>154</v>
      </c>
      <c r="AF44" s="12" t="s">
        <v>154</v>
      </c>
      <c r="AG44" s="4" t="s">
        <v>183</v>
      </c>
      <c r="AH44" s="4" t="s">
        <v>334</v>
      </c>
      <c r="AI44" t="str">
        <f t="shared" si="1"/>
        <v>SPX1 (ug/kg)</v>
      </c>
    </row>
    <row r="45" spans="1:35" x14ac:dyDescent="0.35">
      <c r="A45" s="4" t="s">
        <v>2</v>
      </c>
      <c r="B45" s="11" t="s">
        <v>343</v>
      </c>
      <c r="C45" s="11" t="s">
        <v>344</v>
      </c>
      <c r="D45" s="11" t="s">
        <v>345</v>
      </c>
      <c r="E45" s="11"/>
      <c r="F45" s="11"/>
      <c r="G45" s="11"/>
      <c r="H45" s="11"/>
      <c r="I45" s="11"/>
      <c r="J45" s="4" t="s">
        <v>371</v>
      </c>
      <c r="K45" s="4" t="s">
        <v>372</v>
      </c>
      <c r="L45" s="4" t="s">
        <v>173</v>
      </c>
      <c r="M45" s="4" t="s">
        <v>178</v>
      </c>
      <c r="N45" s="4" t="s">
        <v>53</v>
      </c>
      <c r="O45" s="4" t="s">
        <v>61</v>
      </c>
      <c r="P45" s="4"/>
      <c r="Q45" s="4" t="s">
        <v>61</v>
      </c>
      <c r="R45" s="4" t="s">
        <v>61</v>
      </c>
      <c r="S45" s="4" t="s">
        <v>90</v>
      </c>
      <c r="U45" s="4" t="s">
        <v>55</v>
      </c>
      <c r="V45" s="4">
        <v>0.1</v>
      </c>
      <c r="W45" s="4"/>
      <c r="X45" s="4"/>
      <c r="Y45" s="4" t="s">
        <v>55</v>
      </c>
      <c r="Z45" s="4" t="s">
        <v>54</v>
      </c>
      <c r="AA45" s="4" t="s">
        <v>64</v>
      </c>
      <c r="AB45" s="19" t="s">
        <v>57</v>
      </c>
      <c r="AC45" s="5">
        <v>45691</v>
      </c>
      <c r="AD45" s="5"/>
      <c r="AE45" s="12" t="s">
        <v>185</v>
      </c>
      <c r="AF45" s="12" t="s">
        <v>54</v>
      </c>
      <c r="AG45" s="4" t="s">
        <v>64</v>
      </c>
      <c r="AH45" s="4" t="s">
        <v>328</v>
      </c>
      <c r="AI45" t="str">
        <f t="shared" si="1"/>
        <v>45OH_carboxyYTX (mg YTX eq/kg)</v>
      </c>
    </row>
    <row r="46" spans="1:35" ht="14.5" customHeight="1" x14ac:dyDescent="0.35">
      <c r="A46" s="4" t="s">
        <v>3</v>
      </c>
      <c r="B46" s="11" t="s">
        <v>343</v>
      </c>
      <c r="C46" s="11" t="s">
        <v>344</v>
      </c>
      <c r="D46" s="11" t="s">
        <v>345</v>
      </c>
      <c r="E46" s="11"/>
      <c r="F46" s="11"/>
      <c r="G46" s="11"/>
      <c r="H46" s="11"/>
      <c r="I46" s="11"/>
      <c r="J46" s="4" t="s">
        <v>371</v>
      </c>
      <c r="K46" s="4" t="s">
        <v>372</v>
      </c>
      <c r="L46" s="4" t="s">
        <v>173</v>
      </c>
      <c r="M46" s="4" t="s">
        <v>178</v>
      </c>
      <c r="N46" s="4" t="s">
        <v>53</v>
      </c>
      <c r="O46" s="4" t="s">
        <v>61</v>
      </c>
      <c r="P46" s="21" t="s">
        <v>388</v>
      </c>
      <c r="Q46" s="4" t="s">
        <v>61</v>
      </c>
      <c r="R46" s="4" t="s">
        <v>61</v>
      </c>
      <c r="S46" s="4" t="s">
        <v>90</v>
      </c>
      <c r="U46" s="4" t="s">
        <v>59</v>
      </c>
      <c r="V46" s="4">
        <v>0.1</v>
      </c>
      <c r="W46" s="4"/>
      <c r="X46" s="4"/>
      <c r="Y46" s="4" t="s">
        <v>59</v>
      </c>
      <c r="Z46" s="4" t="s">
        <v>58</v>
      </c>
      <c r="AA46" s="4" t="s">
        <v>64</v>
      </c>
      <c r="AB46" s="19" t="s">
        <v>60</v>
      </c>
      <c r="AC46" s="5">
        <v>45691</v>
      </c>
      <c r="AD46" s="5" t="s">
        <v>414</v>
      </c>
      <c r="AE46" s="12" t="s">
        <v>186</v>
      </c>
      <c r="AF46" s="12" t="s">
        <v>58</v>
      </c>
      <c r="AG46" s="4" t="s">
        <v>64</v>
      </c>
      <c r="AH46" s="4" t="s">
        <v>328</v>
      </c>
      <c r="AI46" t="str">
        <f t="shared" si="1"/>
        <v>45_OH_homoYTX (mg YTX eq/kg)</v>
      </c>
    </row>
    <row r="47" spans="1:35" ht="14.5" customHeight="1" x14ac:dyDescent="0.35">
      <c r="A47" s="4" t="s">
        <v>4</v>
      </c>
      <c r="B47" s="11" t="s">
        <v>343</v>
      </c>
      <c r="C47" s="11" t="s">
        <v>344</v>
      </c>
      <c r="D47" s="11" t="s">
        <v>345</v>
      </c>
      <c r="E47" s="11"/>
      <c r="F47" s="11"/>
      <c r="G47" s="11"/>
      <c r="H47" s="11"/>
      <c r="I47" s="11"/>
      <c r="J47" s="4" t="s">
        <v>371</v>
      </c>
      <c r="K47" s="4" t="s">
        <v>372</v>
      </c>
      <c r="L47" s="4" t="s">
        <v>173</v>
      </c>
      <c r="M47" s="4" t="s">
        <v>178</v>
      </c>
      <c r="N47" s="4" t="s">
        <v>53</v>
      </c>
      <c r="O47" s="4" t="s">
        <v>61</v>
      </c>
      <c r="P47" s="21" t="s">
        <v>389</v>
      </c>
      <c r="Q47" s="4" t="s">
        <v>61</v>
      </c>
      <c r="R47" s="4" t="s">
        <v>61</v>
      </c>
      <c r="S47" s="4" t="s">
        <v>90</v>
      </c>
      <c r="U47" s="4" t="s">
        <v>68</v>
      </c>
      <c r="V47" s="4">
        <v>0.1</v>
      </c>
      <c r="W47" s="4"/>
      <c r="X47" s="4"/>
      <c r="Y47" s="4" t="s">
        <v>68</v>
      </c>
      <c r="Z47" s="4" t="s">
        <v>67</v>
      </c>
      <c r="AA47" s="4" t="s">
        <v>64</v>
      </c>
      <c r="AB47" s="19" t="s">
        <v>66</v>
      </c>
      <c r="AC47" s="5">
        <v>45691</v>
      </c>
      <c r="AD47" s="5" t="s">
        <v>415</v>
      </c>
      <c r="AE47" s="12" t="s">
        <v>187</v>
      </c>
      <c r="AF47" s="12" t="s">
        <v>67</v>
      </c>
      <c r="AG47" s="4" t="s">
        <v>64</v>
      </c>
      <c r="AH47" s="4" t="s">
        <v>328</v>
      </c>
      <c r="AI47" t="str">
        <f t="shared" si="1"/>
        <v>45_OH_YTX (mg YTX eq/kg)</v>
      </c>
    </row>
    <row r="48" spans="1:35" ht="14.5" customHeight="1" x14ac:dyDescent="0.35">
      <c r="A48" s="4" t="s">
        <v>9</v>
      </c>
      <c r="B48" s="11" t="s">
        <v>343</v>
      </c>
      <c r="C48" s="11" t="s">
        <v>344</v>
      </c>
      <c r="D48" s="11" t="s">
        <v>345</v>
      </c>
      <c r="E48" s="11"/>
      <c r="F48" s="11"/>
      <c r="G48" s="11"/>
      <c r="H48" s="11"/>
      <c r="I48" s="11"/>
      <c r="J48" s="4" t="s">
        <v>371</v>
      </c>
      <c r="K48" s="4" t="s">
        <v>372</v>
      </c>
      <c r="L48" s="4" t="s">
        <v>173</v>
      </c>
      <c r="M48" s="4" t="s">
        <v>178</v>
      </c>
      <c r="N48" s="4" t="s">
        <v>53</v>
      </c>
      <c r="O48" s="4" t="s">
        <v>61</v>
      </c>
      <c r="P48" s="21" t="s">
        <v>390</v>
      </c>
      <c r="Q48" s="4" t="s">
        <v>61</v>
      </c>
      <c r="R48" s="4" t="s">
        <v>61</v>
      </c>
      <c r="S48" s="4" t="s">
        <v>90</v>
      </c>
      <c r="U48" s="4" t="s">
        <v>80</v>
      </c>
      <c r="V48" s="4">
        <v>0.1</v>
      </c>
      <c r="W48" s="4"/>
      <c r="X48" s="4"/>
      <c r="Y48" s="4" t="s">
        <v>80</v>
      </c>
      <c r="Z48" s="4" t="s">
        <v>81</v>
      </c>
      <c r="AA48" s="4" t="s">
        <v>64</v>
      </c>
      <c r="AB48" s="19" t="s">
        <v>152</v>
      </c>
      <c r="AC48" s="5">
        <v>45691</v>
      </c>
      <c r="AD48" s="5" t="s">
        <v>416</v>
      </c>
      <c r="AE48" s="12" t="s">
        <v>80</v>
      </c>
      <c r="AF48" s="12" t="s">
        <v>81</v>
      </c>
      <c r="AG48" s="4" t="s">
        <v>64</v>
      </c>
      <c r="AH48" s="4" t="s">
        <v>328</v>
      </c>
      <c r="AI48" t="str">
        <f t="shared" si="1"/>
        <v>CarboxyYTX (mg YTX eq/kg)</v>
      </c>
    </row>
    <row r="49" spans="1:35" ht="14.5" customHeight="1" x14ac:dyDescent="0.35">
      <c r="A49" s="4" t="s">
        <v>16</v>
      </c>
      <c r="B49" s="11" t="s">
        <v>343</v>
      </c>
      <c r="C49" s="11" t="s">
        <v>344</v>
      </c>
      <c r="D49" s="11" t="s">
        <v>345</v>
      </c>
      <c r="E49" s="11"/>
      <c r="F49" s="11"/>
      <c r="G49" s="11"/>
      <c r="H49" s="11"/>
      <c r="I49" s="11"/>
      <c r="J49" s="4" t="s">
        <v>371</v>
      </c>
      <c r="K49" s="4" t="s">
        <v>372</v>
      </c>
      <c r="L49" s="4" t="s">
        <v>173</v>
      </c>
      <c r="M49" s="4" t="s">
        <v>178</v>
      </c>
      <c r="N49" s="4" t="s">
        <v>53</v>
      </c>
      <c r="O49" s="4" t="s">
        <v>61</v>
      </c>
      <c r="P49" s="21" t="s">
        <v>391</v>
      </c>
      <c r="Q49" s="4" t="s">
        <v>61</v>
      </c>
      <c r="R49" s="4" t="s">
        <v>61</v>
      </c>
      <c r="S49" s="4" t="s">
        <v>90</v>
      </c>
      <c r="U49" s="4" t="s">
        <v>85</v>
      </c>
      <c r="V49" s="4">
        <v>0.1</v>
      </c>
      <c r="W49" s="4"/>
      <c r="X49" s="4"/>
      <c r="Y49" s="4" t="s">
        <v>85</v>
      </c>
      <c r="Z49" s="4" t="s">
        <v>82</v>
      </c>
      <c r="AA49" s="4" t="s">
        <v>64</v>
      </c>
      <c r="AB49" s="19" t="s">
        <v>86</v>
      </c>
      <c r="AC49" s="5">
        <v>45691</v>
      </c>
      <c r="AD49" s="5" t="s">
        <v>417</v>
      </c>
      <c r="AE49" s="12" t="s">
        <v>85</v>
      </c>
      <c r="AF49" s="12" t="s">
        <v>82</v>
      </c>
      <c r="AG49" s="4" t="s">
        <v>64</v>
      </c>
      <c r="AH49" s="4" t="s">
        <v>328</v>
      </c>
      <c r="AI49" t="str">
        <f t="shared" si="1"/>
        <v>HomoYTX (mg YTX eq/kg)</v>
      </c>
    </row>
    <row r="50" spans="1:35" x14ac:dyDescent="0.35">
      <c r="A50" s="4" t="s">
        <v>23</v>
      </c>
      <c r="B50" s="11" t="s">
        <v>343</v>
      </c>
      <c r="C50" s="11" t="s">
        <v>344</v>
      </c>
      <c r="D50" s="11" t="s">
        <v>345</v>
      </c>
      <c r="E50" s="11"/>
      <c r="F50" s="11"/>
      <c r="G50" s="11"/>
      <c r="H50" s="11"/>
      <c r="I50" s="11"/>
      <c r="J50" s="4" t="s">
        <v>371</v>
      </c>
      <c r="K50" s="4" t="s">
        <v>372</v>
      </c>
      <c r="L50" s="4" t="s">
        <v>173</v>
      </c>
      <c r="M50" s="4" t="s">
        <v>178</v>
      </c>
      <c r="N50" s="4" t="s">
        <v>53</v>
      </c>
      <c r="O50" s="4" t="s">
        <v>61</v>
      </c>
      <c r="P50" s="21" t="s">
        <v>392</v>
      </c>
      <c r="Q50" s="4" t="s">
        <v>61</v>
      </c>
      <c r="R50" s="4" t="s">
        <v>61</v>
      </c>
      <c r="S50" s="4" t="s">
        <v>90</v>
      </c>
      <c r="U50" s="4" t="s">
        <v>62</v>
      </c>
      <c r="V50" s="4">
        <v>0.1</v>
      </c>
      <c r="W50" s="4"/>
      <c r="X50" s="4">
        <v>1</v>
      </c>
      <c r="Y50" s="4" t="s">
        <v>62</v>
      </c>
      <c r="Z50" s="4" t="s">
        <v>61</v>
      </c>
      <c r="AA50" s="4" t="s">
        <v>64</v>
      </c>
      <c r="AB50" s="19" t="s">
        <v>65</v>
      </c>
      <c r="AC50" s="5">
        <v>45691</v>
      </c>
      <c r="AD50" s="5" t="s">
        <v>400</v>
      </c>
      <c r="AE50" s="12" t="s">
        <v>62</v>
      </c>
      <c r="AF50" s="12" t="s">
        <v>61</v>
      </c>
      <c r="AG50" s="4" t="s">
        <v>64</v>
      </c>
      <c r="AH50" s="4" t="s">
        <v>328</v>
      </c>
      <c r="AI50" t="str">
        <f t="shared" si="1"/>
        <v>YTX (mg YTX eq/kg)</v>
      </c>
    </row>
    <row r="51" spans="1:35" x14ac:dyDescent="0.35">
      <c r="A51" s="4" t="s">
        <v>24</v>
      </c>
      <c r="B51" s="11" t="s">
        <v>343</v>
      </c>
      <c r="C51" s="11" t="s">
        <v>344</v>
      </c>
      <c r="D51" s="11" t="s">
        <v>345</v>
      </c>
      <c r="E51" s="11"/>
      <c r="F51" s="11"/>
      <c r="G51" s="11"/>
      <c r="H51" s="11"/>
      <c r="I51" s="11"/>
      <c r="J51" s="4" t="s">
        <v>371</v>
      </c>
      <c r="K51" s="4" t="s">
        <v>372</v>
      </c>
      <c r="L51" s="4" t="s">
        <v>173</v>
      </c>
      <c r="M51" s="4" t="s">
        <v>178</v>
      </c>
      <c r="N51" s="4" t="s">
        <v>53</v>
      </c>
      <c r="O51" s="4" t="s">
        <v>61</v>
      </c>
      <c r="P51" s="4"/>
      <c r="Q51" s="4" t="s">
        <v>61</v>
      </c>
      <c r="R51" s="4" t="s">
        <v>61</v>
      </c>
      <c r="S51" s="4" t="s">
        <v>90</v>
      </c>
      <c r="U51" s="4" t="s">
        <v>63</v>
      </c>
      <c r="V51" s="4">
        <v>0.1</v>
      </c>
      <c r="W51" s="4">
        <v>3.75</v>
      </c>
      <c r="X51" s="4"/>
      <c r="Y51" s="4"/>
      <c r="Z51" s="4"/>
      <c r="AA51" s="4" t="s">
        <v>64</v>
      </c>
      <c r="AB51" s="4"/>
      <c r="AC51" s="5" t="s">
        <v>50</v>
      </c>
      <c r="AD51" s="5" t="s">
        <v>400</v>
      </c>
      <c r="AE51" s="12" t="s">
        <v>204</v>
      </c>
      <c r="AF51" s="12" t="s">
        <v>218</v>
      </c>
      <c r="AG51" s="4" t="s">
        <v>64</v>
      </c>
      <c r="AH51" s="4" t="s">
        <v>328</v>
      </c>
      <c r="AI51" t="str">
        <f t="shared" si="1"/>
        <v>YTX_tot (mg YTX eq/kg)</v>
      </c>
    </row>
    <row r="52" spans="1:35" x14ac:dyDescent="0.35">
      <c r="A52" t="s">
        <v>221</v>
      </c>
      <c r="B52" s="11" t="s">
        <v>343</v>
      </c>
      <c r="C52" s="11" t="s">
        <v>348</v>
      </c>
      <c r="K52" s="4"/>
      <c r="M52" s="4" t="s">
        <v>178</v>
      </c>
      <c r="N52" s="4" t="s">
        <v>241</v>
      </c>
      <c r="P52" s="20"/>
      <c r="Q52" s="4" t="s">
        <v>337</v>
      </c>
      <c r="R52" s="4" t="s">
        <v>336</v>
      </c>
      <c r="AA52" t="s">
        <v>48</v>
      </c>
      <c r="AE52" s="12" t="s">
        <v>300</v>
      </c>
      <c r="AF52" s="12" t="s">
        <v>295</v>
      </c>
      <c r="AG52" t="s">
        <v>48</v>
      </c>
      <c r="AH52" t="s">
        <v>329</v>
      </c>
      <c r="AI52" t="str">
        <f t="shared" si="1"/>
        <v>Ana_a (mg/kg)</v>
      </c>
    </row>
    <row r="53" spans="1:35" x14ac:dyDescent="0.35">
      <c r="A53" t="s">
        <v>222</v>
      </c>
      <c r="B53" s="11" t="s">
        <v>343</v>
      </c>
      <c r="C53" s="11" t="s">
        <v>348</v>
      </c>
      <c r="M53" s="4" t="s">
        <v>178</v>
      </c>
      <c r="N53" s="4" t="s">
        <v>241</v>
      </c>
      <c r="P53" s="20"/>
      <c r="Q53" s="4" t="s">
        <v>337</v>
      </c>
      <c r="R53" s="4" t="s">
        <v>336</v>
      </c>
      <c r="AA53" t="s">
        <v>48</v>
      </c>
      <c r="AE53" s="12" t="s">
        <v>301</v>
      </c>
      <c r="AF53" s="12" t="s">
        <v>296</v>
      </c>
      <c r="AG53" t="s">
        <v>48</v>
      </c>
      <c r="AH53" t="s">
        <v>329</v>
      </c>
      <c r="AI53" t="str">
        <f t="shared" si="1"/>
        <v>h_Ana (mg/kg)</v>
      </c>
    </row>
    <row r="54" spans="1:35" x14ac:dyDescent="0.35">
      <c r="A54" t="s">
        <v>244</v>
      </c>
      <c r="B54" s="11" t="s">
        <v>343</v>
      </c>
      <c r="C54" s="11" t="s">
        <v>348</v>
      </c>
      <c r="M54" s="4" t="s">
        <v>178</v>
      </c>
      <c r="N54" s="4" t="s">
        <v>241</v>
      </c>
      <c r="O54" s="4" t="s">
        <v>243</v>
      </c>
      <c r="P54" s="21" t="s">
        <v>393</v>
      </c>
      <c r="Q54" s="4" t="s">
        <v>337</v>
      </c>
      <c r="R54" s="4" t="s">
        <v>243</v>
      </c>
      <c r="S54" s="4" t="s">
        <v>245</v>
      </c>
      <c r="U54" s="4" t="s">
        <v>244</v>
      </c>
      <c r="Y54" s="4" t="s">
        <v>244</v>
      </c>
      <c r="Z54" s="4" t="s">
        <v>243</v>
      </c>
      <c r="AA54" t="s">
        <v>48</v>
      </c>
      <c r="AB54" s="19" t="s">
        <v>242</v>
      </c>
      <c r="AC54" s="5">
        <v>45698</v>
      </c>
      <c r="AD54" s="5"/>
      <c r="AE54" s="12" t="s">
        <v>244</v>
      </c>
      <c r="AF54" s="12" t="s">
        <v>243</v>
      </c>
      <c r="AG54" t="s">
        <v>48</v>
      </c>
      <c r="AH54" t="s">
        <v>329</v>
      </c>
      <c r="AI54" t="str">
        <f t="shared" si="1"/>
        <v>CYN (mg/kg)</v>
      </c>
    </row>
    <row r="55" spans="1:35" x14ac:dyDescent="0.35">
      <c r="A55" t="s">
        <v>235</v>
      </c>
      <c r="B55" s="11" t="s">
        <v>343</v>
      </c>
      <c r="C55" s="11" t="s">
        <v>348</v>
      </c>
      <c r="M55" t="s">
        <v>178</v>
      </c>
      <c r="N55" t="s">
        <v>241</v>
      </c>
      <c r="O55" t="s">
        <v>249</v>
      </c>
      <c r="P55" s="20"/>
      <c r="Q55" s="4" t="s">
        <v>337</v>
      </c>
      <c r="R55" t="s">
        <v>249</v>
      </c>
      <c r="S55" t="s">
        <v>248</v>
      </c>
      <c r="U55" t="s">
        <v>235</v>
      </c>
      <c r="Y55" t="s">
        <v>231</v>
      </c>
      <c r="Z55" t="s">
        <v>257</v>
      </c>
      <c r="AA55" t="s">
        <v>48</v>
      </c>
      <c r="AB55" s="19" t="s">
        <v>261</v>
      </c>
      <c r="AC55" s="5">
        <v>45698</v>
      </c>
      <c r="AD55" s="5"/>
      <c r="AE55" s="12" t="s">
        <v>276</v>
      </c>
      <c r="AF55" s="12" t="s">
        <v>257</v>
      </c>
      <c r="AG55" t="s">
        <v>48</v>
      </c>
      <c r="AH55" t="s">
        <v>329</v>
      </c>
      <c r="AI55" t="str">
        <f t="shared" si="1"/>
        <v>MC_HilR (mg/kg)</v>
      </c>
    </row>
    <row r="56" spans="1:35" x14ac:dyDescent="0.35">
      <c r="A56" t="s">
        <v>239</v>
      </c>
      <c r="B56" s="11" t="s">
        <v>343</v>
      </c>
      <c r="C56" s="11" t="s">
        <v>348</v>
      </c>
      <c r="M56" t="s">
        <v>178</v>
      </c>
      <c r="N56" t="s">
        <v>241</v>
      </c>
      <c r="O56" t="s">
        <v>249</v>
      </c>
      <c r="P56" s="20"/>
      <c r="Q56" s="4" t="s">
        <v>337</v>
      </c>
      <c r="R56" t="s">
        <v>249</v>
      </c>
      <c r="S56" t="s">
        <v>248</v>
      </c>
      <c r="AA56" t="s">
        <v>48</v>
      </c>
      <c r="AE56" s="12" t="s">
        <v>288</v>
      </c>
      <c r="AF56" s="12" t="s">
        <v>293</v>
      </c>
      <c r="AG56" t="s">
        <v>48</v>
      </c>
      <c r="AH56" t="s">
        <v>329</v>
      </c>
      <c r="AI56" t="str">
        <f t="shared" si="1"/>
        <v>MC_HphR_DAsp3_E_Dhb7 (mg/kg)</v>
      </c>
    </row>
    <row r="57" spans="1:35" x14ac:dyDescent="0.35">
      <c r="A57" t="s">
        <v>223</v>
      </c>
      <c r="B57" s="11" t="s">
        <v>343</v>
      </c>
      <c r="C57" s="11" t="s">
        <v>348</v>
      </c>
      <c r="M57" t="s">
        <v>178</v>
      </c>
      <c r="N57" t="s">
        <v>241</v>
      </c>
      <c r="O57" t="s">
        <v>249</v>
      </c>
      <c r="P57" s="20"/>
      <c r="Q57" s="4" t="s">
        <v>337</v>
      </c>
      <c r="R57" t="s">
        <v>249</v>
      </c>
      <c r="S57" t="s">
        <v>248</v>
      </c>
      <c r="U57" s="4" t="s">
        <v>317</v>
      </c>
      <c r="Y57" s="4" t="s">
        <v>317</v>
      </c>
      <c r="Z57" s="4" t="s">
        <v>316</v>
      </c>
      <c r="AA57" t="s">
        <v>48</v>
      </c>
      <c r="AB57" s="19" t="s">
        <v>315</v>
      </c>
      <c r="AC57" s="5">
        <v>45700</v>
      </c>
      <c r="AD57" s="5"/>
      <c r="AE57" s="12" t="s">
        <v>302</v>
      </c>
      <c r="AF57" s="12" t="s">
        <v>297</v>
      </c>
      <c r="AG57" t="s">
        <v>48</v>
      </c>
      <c r="AH57" t="s">
        <v>329</v>
      </c>
      <c r="AI57" t="str">
        <f t="shared" si="1"/>
        <v>MC_HTyR (mg/kg)</v>
      </c>
    </row>
    <row r="58" spans="1:35" x14ac:dyDescent="0.35">
      <c r="A58" t="s">
        <v>240</v>
      </c>
      <c r="B58" s="11" t="s">
        <v>343</v>
      </c>
      <c r="C58" s="11" t="s">
        <v>348</v>
      </c>
      <c r="M58" t="s">
        <v>178</v>
      </c>
      <c r="N58" t="s">
        <v>241</v>
      </c>
      <c r="O58" t="s">
        <v>249</v>
      </c>
      <c r="P58" s="20"/>
      <c r="Q58" s="4" t="s">
        <v>337</v>
      </c>
      <c r="R58" t="s">
        <v>249</v>
      </c>
      <c r="S58" t="s">
        <v>248</v>
      </c>
      <c r="AA58" t="s">
        <v>48</v>
      </c>
      <c r="AE58" s="12" t="s">
        <v>289</v>
      </c>
      <c r="AF58" s="12" t="s">
        <v>294</v>
      </c>
      <c r="AG58" t="s">
        <v>48</v>
      </c>
      <c r="AH58" t="s">
        <v>329</v>
      </c>
      <c r="AI58" t="str">
        <f t="shared" si="1"/>
        <v>MC_HtyR_D_Asp3_E_Dhb7 (mg/kg)</v>
      </c>
    </row>
    <row r="59" spans="1:35" x14ac:dyDescent="0.35">
      <c r="A59" t="s">
        <v>230</v>
      </c>
      <c r="B59" s="11" t="s">
        <v>343</v>
      </c>
      <c r="C59" s="11" t="s">
        <v>348</v>
      </c>
      <c r="M59" t="s">
        <v>178</v>
      </c>
      <c r="N59" t="s">
        <v>241</v>
      </c>
      <c r="O59" t="s">
        <v>249</v>
      </c>
      <c r="P59" s="20"/>
      <c r="Q59" s="4" t="s">
        <v>337</v>
      </c>
      <c r="R59" t="s">
        <v>249</v>
      </c>
      <c r="S59" t="s">
        <v>248</v>
      </c>
      <c r="U59" t="s">
        <v>230</v>
      </c>
      <c r="Y59" t="s">
        <v>230</v>
      </c>
      <c r="Z59" t="s">
        <v>251</v>
      </c>
      <c r="AA59" t="s">
        <v>48</v>
      </c>
      <c r="AB59" s="19" t="s">
        <v>250</v>
      </c>
      <c r="AC59" s="5">
        <v>45698</v>
      </c>
      <c r="AD59" s="5" t="s">
        <v>406</v>
      </c>
      <c r="AE59" s="12" t="s">
        <v>271</v>
      </c>
      <c r="AF59" s="12" t="s">
        <v>251</v>
      </c>
      <c r="AG59" t="s">
        <v>48</v>
      </c>
      <c r="AH59" t="s">
        <v>329</v>
      </c>
      <c r="AI59" t="str">
        <f t="shared" si="1"/>
        <v>MC_LA (mg/kg)</v>
      </c>
    </row>
    <row r="60" spans="1:35" x14ac:dyDescent="0.35">
      <c r="A60" t="s">
        <v>231</v>
      </c>
      <c r="B60" s="11" t="s">
        <v>343</v>
      </c>
      <c r="C60" s="11" t="s">
        <v>348</v>
      </c>
      <c r="M60" t="s">
        <v>178</v>
      </c>
      <c r="N60" t="s">
        <v>241</v>
      </c>
      <c r="O60" t="s">
        <v>249</v>
      </c>
      <c r="P60" s="20"/>
      <c r="Q60" s="4" t="s">
        <v>337</v>
      </c>
      <c r="R60" t="s">
        <v>249</v>
      </c>
      <c r="S60" t="s">
        <v>248</v>
      </c>
      <c r="U60" t="s">
        <v>231</v>
      </c>
      <c r="Y60" t="s">
        <v>231</v>
      </c>
      <c r="Z60" t="s">
        <v>253</v>
      </c>
      <c r="AA60" t="s">
        <v>48</v>
      </c>
      <c r="AB60" s="19" t="s">
        <v>252</v>
      </c>
      <c r="AC60" s="5">
        <v>45698</v>
      </c>
      <c r="AD60" s="5" t="s">
        <v>403</v>
      </c>
      <c r="AE60" s="12" t="s">
        <v>272</v>
      </c>
      <c r="AF60" s="12" t="s">
        <v>253</v>
      </c>
      <c r="AG60" t="s">
        <v>48</v>
      </c>
      <c r="AH60" t="s">
        <v>329</v>
      </c>
      <c r="AI60" t="str">
        <f t="shared" si="1"/>
        <v>MC_LF (mg/kg)</v>
      </c>
    </row>
    <row r="61" spans="1:35" x14ac:dyDescent="0.35">
      <c r="A61" t="s">
        <v>228</v>
      </c>
      <c r="B61" s="11" t="s">
        <v>343</v>
      </c>
      <c r="C61" s="11" t="s">
        <v>348</v>
      </c>
      <c r="M61" t="s">
        <v>178</v>
      </c>
      <c r="N61" t="s">
        <v>241</v>
      </c>
      <c r="O61" t="s">
        <v>249</v>
      </c>
      <c r="P61" s="20"/>
      <c r="Q61" s="4" t="s">
        <v>337</v>
      </c>
      <c r="R61" t="s">
        <v>249</v>
      </c>
      <c r="S61" t="s">
        <v>248</v>
      </c>
      <c r="U61" t="s">
        <v>228</v>
      </c>
      <c r="Y61" t="s">
        <v>228</v>
      </c>
      <c r="Z61" t="s">
        <v>246</v>
      </c>
      <c r="AA61" t="s">
        <v>48</v>
      </c>
      <c r="AB61" s="19" t="s">
        <v>247</v>
      </c>
      <c r="AC61" s="5">
        <v>45698</v>
      </c>
      <c r="AD61" s="5" t="s">
        <v>401</v>
      </c>
      <c r="AE61" s="12" t="s">
        <v>269</v>
      </c>
      <c r="AF61" s="12" t="s">
        <v>246</v>
      </c>
      <c r="AG61" t="s">
        <v>48</v>
      </c>
      <c r="AH61" t="s">
        <v>329</v>
      </c>
      <c r="AI61" t="str">
        <f t="shared" si="1"/>
        <v>MC_LR (mg/kg)</v>
      </c>
    </row>
    <row r="62" spans="1:35" x14ac:dyDescent="0.35">
      <c r="A62" s="8" t="s">
        <v>224</v>
      </c>
      <c r="B62" s="11" t="s">
        <v>343</v>
      </c>
      <c r="C62" s="11" t="s">
        <v>348</v>
      </c>
      <c r="D62" s="8"/>
      <c r="E62" s="8"/>
      <c r="F62" s="8"/>
      <c r="G62" s="8"/>
      <c r="H62" s="8"/>
      <c r="I62" s="8"/>
      <c r="J62" s="8"/>
      <c r="K62" s="8"/>
      <c r="M62" t="s">
        <v>178</v>
      </c>
      <c r="N62" t="s">
        <v>241</v>
      </c>
      <c r="O62" t="s">
        <v>249</v>
      </c>
      <c r="P62" s="20"/>
      <c r="Q62" s="4" t="s">
        <v>337</v>
      </c>
      <c r="R62" t="s">
        <v>249</v>
      </c>
      <c r="S62" t="s">
        <v>248</v>
      </c>
      <c r="U62" t="s">
        <v>309</v>
      </c>
      <c r="Y62" t="s">
        <v>309</v>
      </c>
      <c r="Z62" t="s">
        <v>310</v>
      </c>
      <c r="AA62" t="s">
        <v>48</v>
      </c>
      <c r="AB62" s="19" t="s">
        <v>311</v>
      </c>
      <c r="AC62" s="5">
        <v>45700</v>
      </c>
      <c r="AD62" s="5"/>
      <c r="AE62" s="12" t="s">
        <v>303</v>
      </c>
      <c r="AF62" s="12" t="s">
        <v>298</v>
      </c>
      <c r="AG62" t="s">
        <v>48</v>
      </c>
      <c r="AH62" t="s">
        <v>329</v>
      </c>
      <c r="AI62" t="str">
        <f t="shared" si="1"/>
        <v>MC_LR_D_Asp3 (mg/kg)</v>
      </c>
    </row>
    <row r="63" spans="1:35" x14ac:dyDescent="0.35">
      <c r="A63" s="8" t="s">
        <v>237</v>
      </c>
      <c r="B63" s="11" t="s">
        <v>343</v>
      </c>
      <c r="C63" s="11" t="s">
        <v>348</v>
      </c>
      <c r="D63" s="8"/>
      <c r="E63" s="8"/>
      <c r="F63" s="8"/>
      <c r="G63" s="8"/>
      <c r="H63" s="8"/>
      <c r="I63" s="8"/>
      <c r="J63" s="8"/>
      <c r="K63" s="8"/>
      <c r="M63" t="s">
        <v>178</v>
      </c>
      <c r="N63" t="s">
        <v>241</v>
      </c>
      <c r="O63" t="s">
        <v>249</v>
      </c>
      <c r="P63" s="20"/>
      <c r="Q63" s="4" t="s">
        <v>337</v>
      </c>
      <c r="R63" t="s">
        <v>249</v>
      </c>
      <c r="S63" t="s">
        <v>248</v>
      </c>
      <c r="U63" t="s">
        <v>320</v>
      </c>
      <c r="Y63" t="s">
        <v>320</v>
      </c>
      <c r="Z63" t="s">
        <v>319</v>
      </c>
      <c r="AA63" t="s">
        <v>48</v>
      </c>
      <c r="AB63" t="s">
        <v>318</v>
      </c>
      <c r="AC63" s="5">
        <v>45700</v>
      </c>
      <c r="AD63" s="5"/>
      <c r="AE63" s="12" t="s">
        <v>286</v>
      </c>
      <c r="AF63" s="12" t="s">
        <v>291</v>
      </c>
      <c r="AG63" t="s">
        <v>48</v>
      </c>
      <c r="AH63" t="s">
        <v>329</v>
      </c>
      <c r="AI63" t="str">
        <f t="shared" si="1"/>
        <v>MC_LR_Dha7 (mg/kg)</v>
      </c>
    </row>
    <row r="64" spans="1:35" x14ac:dyDescent="0.35">
      <c r="A64" t="s">
        <v>232</v>
      </c>
      <c r="B64" s="11" t="s">
        <v>343</v>
      </c>
      <c r="C64" s="11" t="s">
        <v>348</v>
      </c>
      <c r="M64" t="s">
        <v>178</v>
      </c>
      <c r="N64" t="s">
        <v>241</v>
      </c>
      <c r="O64" t="s">
        <v>249</v>
      </c>
      <c r="P64" s="20"/>
      <c r="Q64" s="4" t="s">
        <v>337</v>
      </c>
      <c r="R64" t="s">
        <v>249</v>
      </c>
      <c r="S64" t="s">
        <v>248</v>
      </c>
      <c r="U64" t="s">
        <v>232</v>
      </c>
      <c r="Y64" t="s">
        <v>231</v>
      </c>
      <c r="Z64" t="s">
        <v>254</v>
      </c>
      <c r="AA64" t="s">
        <v>48</v>
      </c>
      <c r="AB64" t="s">
        <v>258</v>
      </c>
      <c r="AC64" s="5">
        <v>45698</v>
      </c>
      <c r="AD64" s="5" t="s">
        <v>405</v>
      </c>
      <c r="AE64" s="12" t="s">
        <v>273</v>
      </c>
      <c r="AF64" s="12" t="s">
        <v>254</v>
      </c>
      <c r="AG64" t="s">
        <v>48</v>
      </c>
      <c r="AH64" t="s">
        <v>329</v>
      </c>
      <c r="AI64" t="str">
        <f t="shared" si="1"/>
        <v>MC_LW (mg/kg)</v>
      </c>
    </row>
    <row r="65" spans="1:35" x14ac:dyDescent="0.35">
      <c r="A65" t="s">
        <v>233</v>
      </c>
      <c r="B65" s="11" t="s">
        <v>343</v>
      </c>
      <c r="C65" s="11" t="s">
        <v>348</v>
      </c>
      <c r="M65" t="s">
        <v>178</v>
      </c>
      <c r="N65" t="s">
        <v>241</v>
      </c>
      <c r="O65" t="s">
        <v>249</v>
      </c>
      <c r="P65" s="20"/>
      <c r="Q65" s="4" t="s">
        <v>337</v>
      </c>
      <c r="R65" t="s">
        <v>249</v>
      </c>
      <c r="S65" t="s">
        <v>248</v>
      </c>
      <c r="U65" t="s">
        <v>233</v>
      </c>
      <c r="Y65" t="s">
        <v>231</v>
      </c>
      <c r="Z65" t="s">
        <v>255</v>
      </c>
      <c r="AA65" t="s">
        <v>48</v>
      </c>
      <c r="AB65" t="s">
        <v>259</v>
      </c>
      <c r="AC65" s="5">
        <v>45698</v>
      </c>
      <c r="AD65" s="5" t="s">
        <v>407</v>
      </c>
      <c r="AE65" s="12" t="s">
        <v>274</v>
      </c>
      <c r="AF65" s="12" t="s">
        <v>255</v>
      </c>
      <c r="AG65" t="s">
        <v>48</v>
      </c>
      <c r="AH65" t="s">
        <v>329</v>
      </c>
      <c r="AI65" t="str">
        <f t="shared" si="1"/>
        <v>MC_LY (mg/kg)</v>
      </c>
    </row>
    <row r="66" spans="1:35" x14ac:dyDescent="0.35">
      <c r="A66" t="s">
        <v>227</v>
      </c>
      <c r="B66" s="11" t="s">
        <v>343</v>
      </c>
      <c r="C66" s="11" t="s">
        <v>348</v>
      </c>
      <c r="M66" t="s">
        <v>178</v>
      </c>
      <c r="N66" t="s">
        <v>241</v>
      </c>
      <c r="O66" t="s">
        <v>249</v>
      </c>
      <c r="P66" s="20"/>
      <c r="Q66" s="4" t="s">
        <v>337</v>
      </c>
      <c r="R66" t="s">
        <v>249</v>
      </c>
      <c r="S66" t="s">
        <v>248</v>
      </c>
      <c r="U66" s="3" t="s">
        <v>227</v>
      </c>
      <c r="V66" s="3"/>
      <c r="W66" s="3"/>
      <c r="X66" s="3"/>
      <c r="Y66" s="3" t="s">
        <v>227</v>
      </c>
      <c r="Z66" s="3" t="s">
        <v>263</v>
      </c>
      <c r="AA66" s="3" t="s">
        <v>48</v>
      </c>
      <c r="AB66" s="3" t="s">
        <v>262</v>
      </c>
      <c r="AC66" s="5">
        <v>45698</v>
      </c>
      <c r="AD66" s="5" t="s">
        <v>402</v>
      </c>
      <c r="AE66" s="12" t="s">
        <v>268</v>
      </c>
      <c r="AF66" s="12" t="s">
        <v>263</v>
      </c>
      <c r="AG66" s="3" t="s">
        <v>48</v>
      </c>
      <c r="AH66" s="3" t="s">
        <v>329</v>
      </c>
      <c r="AI66" t="str">
        <f t="shared" ref="AI66:AI72" si="2">CONCATENATE(AE66, " (", AG66, ")")</f>
        <v>MC_RR (mg/kg)</v>
      </c>
    </row>
    <row r="67" spans="1:35" x14ac:dyDescent="0.35">
      <c r="A67" s="9" t="s">
        <v>236</v>
      </c>
      <c r="B67" s="11" t="s">
        <v>343</v>
      </c>
      <c r="C67" s="11" t="s">
        <v>348</v>
      </c>
      <c r="D67" s="9"/>
      <c r="E67" s="9"/>
      <c r="F67" s="9"/>
      <c r="G67" s="9"/>
      <c r="H67" s="9"/>
      <c r="I67" s="9"/>
      <c r="J67" s="9"/>
      <c r="K67" s="9"/>
      <c r="M67" t="s">
        <v>178</v>
      </c>
      <c r="N67" t="s">
        <v>241</v>
      </c>
      <c r="O67" t="s">
        <v>249</v>
      </c>
      <c r="P67" s="20"/>
      <c r="Q67" s="4" t="s">
        <v>337</v>
      </c>
      <c r="R67" t="s">
        <v>249</v>
      </c>
      <c r="S67" t="s">
        <v>248</v>
      </c>
      <c r="AA67" t="s">
        <v>48</v>
      </c>
      <c r="AE67" s="12" t="s">
        <v>285</v>
      </c>
      <c r="AF67" s="12" t="s">
        <v>290</v>
      </c>
      <c r="AG67" t="s">
        <v>48</v>
      </c>
      <c r="AH67" t="s">
        <v>329</v>
      </c>
      <c r="AI67" t="str">
        <f t="shared" si="2"/>
        <v>MC_RR_D_Asp3_E_Dhb7 (mg/kg)</v>
      </c>
    </row>
    <row r="68" spans="1:35" x14ac:dyDescent="0.35">
      <c r="A68" s="9" t="s">
        <v>225</v>
      </c>
      <c r="B68" s="11" t="s">
        <v>343</v>
      </c>
      <c r="C68" s="11" t="s">
        <v>348</v>
      </c>
      <c r="D68" s="9"/>
      <c r="E68" s="9"/>
      <c r="F68" s="9"/>
      <c r="G68" s="9"/>
      <c r="H68" s="9"/>
      <c r="I68" s="9"/>
      <c r="J68" s="9"/>
      <c r="K68" s="9"/>
      <c r="M68" t="s">
        <v>178</v>
      </c>
      <c r="N68" t="s">
        <v>241</v>
      </c>
      <c r="O68" t="s">
        <v>249</v>
      </c>
      <c r="P68" s="20"/>
      <c r="Q68" s="4" t="s">
        <v>337</v>
      </c>
      <c r="R68" t="s">
        <v>249</v>
      </c>
      <c r="S68" t="s">
        <v>248</v>
      </c>
      <c r="U68" t="s">
        <v>314</v>
      </c>
      <c r="Y68" t="s">
        <v>314</v>
      </c>
      <c r="Z68" t="s">
        <v>313</v>
      </c>
      <c r="AA68" t="s">
        <v>48</v>
      </c>
      <c r="AB68" s="19" t="s">
        <v>312</v>
      </c>
      <c r="AC68" s="5">
        <v>45700</v>
      </c>
      <c r="AD68" s="5"/>
      <c r="AE68" s="12" t="s">
        <v>304</v>
      </c>
      <c r="AF68" s="12" t="s">
        <v>299</v>
      </c>
      <c r="AG68" t="s">
        <v>48</v>
      </c>
      <c r="AH68" t="s">
        <v>329</v>
      </c>
      <c r="AI68" t="str">
        <f t="shared" si="2"/>
        <v>MC_RR_D_Asp3 (mg/kg)</v>
      </c>
    </row>
    <row r="69" spans="1:35" x14ac:dyDescent="0.35">
      <c r="A69" t="s">
        <v>238</v>
      </c>
      <c r="B69" s="11" t="s">
        <v>343</v>
      </c>
      <c r="C69" s="11" t="s">
        <v>348</v>
      </c>
      <c r="M69" t="s">
        <v>178</v>
      </c>
      <c r="N69" t="s">
        <v>241</v>
      </c>
      <c r="O69" t="s">
        <v>249</v>
      </c>
      <c r="P69" s="20"/>
      <c r="Q69" s="4" t="s">
        <v>337</v>
      </c>
      <c r="R69" t="s">
        <v>249</v>
      </c>
      <c r="S69" t="s">
        <v>248</v>
      </c>
      <c r="U69" t="s">
        <v>323</v>
      </c>
      <c r="Y69" t="s">
        <v>323</v>
      </c>
      <c r="Z69" t="s">
        <v>322</v>
      </c>
      <c r="AA69" t="s">
        <v>48</v>
      </c>
      <c r="AB69" t="s">
        <v>321</v>
      </c>
      <c r="AC69" s="5">
        <v>45700</v>
      </c>
      <c r="AD69" s="5"/>
      <c r="AE69" s="12" t="s">
        <v>287</v>
      </c>
      <c r="AF69" s="12" t="s">
        <v>292</v>
      </c>
      <c r="AG69" t="s">
        <v>48</v>
      </c>
      <c r="AH69" t="s">
        <v>329</v>
      </c>
      <c r="AI69" t="str">
        <f t="shared" si="2"/>
        <v>MC_RR_Dha7 (mg/kg)</v>
      </c>
    </row>
    <row r="70" spans="1:35" x14ac:dyDescent="0.35">
      <c r="A70" t="s">
        <v>234</v>
      </c>
      <c r="B70" s="11" t="s">
        <v>343</v>
      </c>
      <c r="C70" s="11" t="s">
        <v>348</v>
      </c>
      <c r="M70" t="s">
        <v>178</v>
      </c>
      <c r="N70" t="s">
        <v>241</v>
      </c>
      <c r="O70" t="s">
        <v>249</v>
      </c>
      <c r="P70" s="20"/>
      <c r="Q70" s="4" t="s">
        <v>337</v>
      </c>
      <c r="R70" t="s">
        <v>249</v>
      </c>
      <c r="S70" t="s">
        <v>248</v>
      </c>
      <c r="U70" t="s">
        <v>234</v>
      </c>
      <c r="Y70" t="s">
        <v>231</v>
      </c>
      <c r="Z70" t="s">
        <v>256</v>
      </c>
      <c r="AA70" t="s">
        <v>48</v>
      </c>
      <c r="AB70" t="s">
        <v>260</v>
      </c>
      <c r="AC70" s="5">
        <v>45698</v>
      </c>
      <c r="AD70" s="5"/>
      <c r="AE70" s="12" t="s">
        <v>275</v>
      </c>
      <c r="AF70" s="12" t="s">
        <v>256</v>
      </c>
      <c r="AG70" t="s">
        <v>48</v>
      </c>
      <c r="AH70" t="s">
        <v>329</v>
      </c>
      <c r="AI70" t="str">
        <f t="shared" si="2"/>
        <v>MC_WR (mg/kg)</v>
      </c>
    </row>
    <row r="71" spans="1:35" x14ac:dyDescent="0.35">
      <c r="A71" t="s">
        <v>229</v>
      </c>
      <c r="B71" s="11" t="s">
        <v>343</v>
      </c>
      <c r="C71" s="11" t="s">
        <v>348</v>
      </c>
      <c r="M71" t="s">
        <v>178</v>
      </c>
      <c r="N71" t="s">
        <v>241</v>
      </c>
      <c r="O71" t="s">
        <v>249</v>
      </c>
      <c r="P71" s="20"/>
      <c r="Q71" s="4" t="s">
        <v>337</v>
      </c>
      <c r="R71" t="s">
        <v>249</v>
      </c>
      <c r="S71" t="s">
        <v>248</v>
      </c>
      <c r="U71" t="s">
        <v>229</v>
      </c>
      <c r="Y71" t="s">
        <v>229</v>
      </c>
      <c r="Z71" t="s">
        <v>264</v>
      </c>
      <c r="AA71" t="s">
        <v>48</v>
      </c>
      <c r="AB71" t="s">
        <v>265</v>
      </c>
      <c r="AC71" s="5">
        <v>45698</v>
      </c>
      <c r="AD71" s="5" t="s">
        <v>404</v>
      </c>
      <c r="AE71" s="12" t="s">
        <v>270</v>
      </c>
      <c r="AF71" s="12" t="s">
        <v>264</v>
      </c>
      <c r="AG71" t="s">
        <v>48</v>
      </c>
      <c r="AH71" t="s">
        <v>329</v>
      </c>
      <c r="AI71" t="str">
        <f t="shared" si="2"/>
        <v>MC_YR (mg/kg)</v>
      </c>
    </row>
    <row r="72" spans="1:35" x14ac:dyDescent="0.35">
      <c r="A72" t="s">
        <v>226</v>
      </c>
      <c r="B72" s="11" t="s">
        <v>343</v>
      </c>
      <c r="C72" s="11" t="s">
        <v>348</v>
      </c>
      <c r="M72" t="s">
        <v>178</v>
      </c>
      <c r="N72" t="s">
        <v>241</v>
      </c>
      <c r="O72" t="s">
        <v>267</v>
      </c>
      <c r="P72" s="20"/>
      <c r="Q72" s="4" t="s">
        <v>337</v>
      </c>
      <c r="R72" t="s">
        <v>267</v>
      </c>
      <c r="S72" t="s">
        <v>266</v>
      </c>
      <c r="U72" t="s">
        <v>305</v>
      </c>
      <c r="Y72" t="s">
        <v>305</v>
      </c>
      <c r="Z72" t="s">
        <v>306</v>
      </c>
      <c r="AA72" s="3" t="s">
        <v>48</v>
      </c>
      <c r="AB72" s="19" t="s">
        <v>307</v>
      </c>
      <c r="AC72" s="5">
        <v>45700</v>
      </c>
      <c r="AD72" s="5" t="s">
        <v>418</v>
      </c>
      <c r="AE72" s="12" t="s">
        <v>308</v>
      </c>
      <c r="AF72" s="12" t="s">
        <v>306</v>
      </c>
      <c r="AG72" t="s">
        <v>48</v>
      </c>
      <c r="AH72" t="s">
        <v>329</v>
      </c>
      <c r="AI72" t="str">
        <f t="shared" si="2"/>
        <v>NOD_R (mg/kg)</v>
      </c>
    </row>
  </sheetData>
  <sortState xmlns:xlrd2="http://schemas.microsoft.com/office/spreadsheetml/2017/richdata2" ref="A2:AE51">
    <sortCondition ref="A2:A51"/>
  </sortState>
  <phoneticPr fontId="2" type="noConversion"/>
  <hyperlinks>
    <hyperlink ref="S41" r:id="rId1" xr:uid="{1626B51C-1015-4732-A4E4-DD5A79875C36}"/>
    <hyperlink ref="AB7" r:id="rId2" xr:uid="{F28E2579-E2A8-435E-A2AD-ADC9FD8542D6}"/>
    <hyperlink ref="AB9" r:id="rId3" xr:uid="{0EAB3E9D-003F-44F6-B03A-26627B342651}"/>
    <hyperlink ref="AB11" r:id="rId4" xr:uid="{39378CF1-9776-4E8D-9AC6-977BA6B5B251}"/>
    <hyperlink ref="AB12" r:id="rId5" xr:uid="{15AC88DA-3EFE-4D1D-A601-915E875D3F0F}"/>
    <hyperlink ref="AB13" r:id="rId6" xr:uid="{3DADBD29-C730-4C52-839A-DE2241CECDD2}"/>
    <hyperlink ref="AB16" r:id="rId7" xr:uid="{0CD87C6A-D210-4B37-904F-A773D188C394}"/>
    <hyperlink ref="AB17" r:id="rId8" xr:uid="{BCE7E99D-81CC-40BC-82A2-C25415323299}"/>
    <hyperlink ref="AB18" r:id="rId9" xr:uid="{98B6DAE2-16FE-45E0-8C16-829E374BFB96}"/>
    <hyperlink ref="AB21" r:id="rId10" xr:uid="{CE570CC5-0527-4E3F-AC87-FCCECE22552C}"/>
    <hyperlink ref="AB25" r:id="rId11" xr:uid="{4F518F33-05BB-4A8F-9FFC-E4EFC8375361}"/>
    <hyperlink ref="AB27" r:id="rId12" xr:uid="{131B9BC4-299A-4FBD-9194-2D2D4BFB0997}"/>
    <hyperlink ref="AB29" r:id="rId13" xr:uid="{41A83264-0EB2-4543-A46D-2F4B0862C237}"/>
    <hyperlink ref="AB35" r:id="rId14" xr:uid="{8C44F00C-78C9-4B81-B779-8B5251BEB7E1}"/>
    <hyperlink ref="AB37" r:id="rId15" xr:uid="{A2C3642C-4B2D-4A90-86D0-EAF0BAF8BC59}"/>
    <hyperlink ref="AB39" r:id="rId16" xr:uid="{2E6A56ED-8CCC-4B33-AF8B-F3FEC2A627EF}"/>
    <hyperlink ref="AB43" r:id="rId17" xr:uid="{E62B622B-11F4-4134-A05A-0445DB56B304}"/>
    <hyperlink ref="AB45" r:id="rId18" xr:uid="{081F4728-351D-4701-A88F-A7B6700527EF}"/>
    <hyperlink ref="AB46" r:id="rId19" xr:uid="{E27BD646-68D4-4592-90E3-7F06996571C2}"/>
    <hyperlink ref="AB47" r:id="rId20" xr:uid="{01F71EBC-5A66-4E85-974B-CAFA21916719}"/>
    <hyperlink ref="AB48" r:id="rId21" xr:uid="{16E5252D-CE04-4304-9F4C-B458D0E0B781}"/>
    <hyperlink ref="AB49" r:id="rId22" xr:uid="{41ADB5C9-B807-4C0D-BC2E-F1011FD23FC9}"/>
    <hyperlink ref="AB50" r:id="rId23" xr:uid="{76811145-F44C-475E-95DC-0078FB2681D2}"/>
    <hyperlink ref="AB54" r:id="rId24" xr:uid="{1F09F5C5-3266-41AB-A81E-C7E63E056A14}"/>
    <hyperlink ref="AB55" r:id="rId25" xr:uid="{18A84AB5-8C7D-49FA-830A-B593DF069531}"/>
    <hyperlink ref="AB57" r:id="rId26" xr:uid="{931D7621-99F8-4727-9448-D3F333B84010}"/>
    <hyperlink ref="AB59" r:id="rId27" xr:uid="{AEC7B0D6-94B0-4325-87FF-EB35411208C2}"/>
    <hyperlink ref="AB60" r:id="rId28" xr:uid="{9099387E-27DF-4A20-8E5B-75D3317970FE}"/>
    <hyperlink ref="AB61" r:id="rId29" xr:uid="{80F4F414-463C-4FB1-949F-A3F57BF135CF}"/>
    <hyperlink ref="AB62" r:id="rId30" xr:uid="{93A63D2D-35C7-4DB9-8400-78570844FBF6}"/>
    <hyperlink ref="AB72" r:id="rId31" xr:uid="{04A16CA8-8B48-448A-904A-117642E39DD3}"/>
    <hyperlink ref="AB3" r:id="rId32" xr:uid="{24AC84FF-1503-45F3-923F-117EF975EA33}"/>
    <hyperlink ref="AB68" r:id="rId33" xr:uid="{C5464080-36A2-4DA1-93D3-863C42546752}"/>
    <hyperlink ref="AD16" r:id="rId34" xr:uid="{2780E62E-742D-4138-A978-F8553DC8D3E2}"/>
  </hyperlinks>
  <pageMargins left="0.7" right="0.7" top="0.75" bottom="0.75" header="0.3" footer="0.3"/>
  <pageSetup paperSize="9" orientation="portrait" r:id="rId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>SMHI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Hedblom Mikael</dc:creator>
  <cp:lastModifiedBy>Hedblom Mikael</cp:lastModifiedBy>
  <dcterms:created xsi:type="dcterms:W3CDTF">2025-01-31T09:27:49Z</dcterms:created>
  <dcterms:modified xsi:type="dcterms:W3CDTF">2026-07-10T12:28:35Z</dcterms:modified>
</cp:coreProperties>
</file>